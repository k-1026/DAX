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5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esktop\k뉴딜\data\"/>
    </mc:Choice>
  </mc:AlternateContent>
  <xr:revisionPtr revIDLastSave="0" documentId="13_ncr:1_{4B2F179B-72E6-4434-8FB6-D73D193A7292}" xr6:coauthVersionLast="47" xr6:coauthVersionMax="47" xr10:uidLastSave="{00000000-0000-0000-0000-000000000000}"/>
  <bookViews>
    <workbookView xWindow="1170" yWindow="1170" windowWidth="21600" windowHeight="11295" xr2:uid="{5F6E949F-2E43-4EC4-B569-5FCEC78569EB}"/>
  </bookViews>
  <sheets>
    <sheet name="설명" sheetId="1" r:id="rId1"/>
    <sheet name="기업생멸_산업별" sheetId="2" r:id="rId2"/>
    <sheet name="차트_기업생멸_산업별" sheetId="7" r:id="rId3"/>
    <sheet name="기업생멸_시도별" sheetId="3" r:id="rId4"/>
    <sheet name="차트_기업생멸_시도별" sheetId="8" r:id="rId5"/>
    <sheet name="사업체_산업별(2020~24)" sheetId="4" r:id="rId6"/>
    <sheet name="차트_사업체_산업별(2020~24)" sheetId="9" r:id="rId7"/>
    <sheet name="사업체_산업별(2019~20구)" sheetId="5" r:id="rId8"/>
    <sheet name="차트_사업체_산업별(2019~20구)" sheetId="10" r:id="rId9"/>
    <sheet name="사업체_시도별" sheetId="6" r:id="rId10"/>
    <sheet name="차트_사업체_시도별" sheetId="11" r:id="rId11"/>
  </sheets>
  <definedNames>
    <definedName name="_xlnm._FilterDatabase" localSheetId="1" hidden="1">기업생멸_산업별!$A$1:$AI$1</definedName>
    <definedName name="_xlnm._FilterDatabase" localSheetId="3" hidden="1">기업생멸_시도별!$A$1:$AH$1</definedName>
    <definedName name="_xlnm._FilterDatabase" localSheetId="7" hidden="1">'사업체_산업별(2019~20구)'!$A$1:$F$1</definedName>
    <definedName name="_xlnm._FilterDatabase" localSheetId="5" hidden="1">'사업체_산업별(2020~24)'!$A$1:$Q$1</definedName>
    <definedName name="_xlnm._FilterDatabase" localSheetId="9" hidden="1">사업체_시도별!$A$1:$S$1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1" l="1"/>
  <c r="F37" i="11"/>
  <c r="E36" i="11"/>
  <c r="E37" i="11"/>
  <c r="D36" i="11"/>
  <c r="D37" i="11"/>
  <c r="C36" i="11"/>
  <c r="C37" i="11"/>
  <c r="B36" i="11"/>
  <c r="B37" i="11"/>
  <c r="F35" i="11"/>
  <c r="E35" i="11"/>
  <c r="D35" i="11"/>
  <c r="C35" i="11"/>
  <c r="B35" i="11"/>
  <c r="F34" i="11"/>
  <c r="E34" i="11"/>
  <c r="D34" i="11"/>
  <c r="C34" i="11"/>
  <c r="B34" i="11"/>
  <c r="F33" i="11"/>
  <c r="E33" i="11"/>
  <c r="D33" i="11"/>
  <c r="C33" i="11"/>
  <c r="B33" i="11"/>
  <c r="F32" i="11"/>
  <c r="E32" i="11"/>
  <c r="D32" i="11"/>
  <c r="C32" i="11"/>
  <c r="B32" i="11"/>
  <c r="F31" i="11"/>
  <c r="E31" i="11"/>
  <c r="D31" i="11"/>
  <c r="C31" i="11"/>
  <c r="B31" i="11"/>
  <c r="C8" i="11"/>
  <c r="C9" i="11"/>
  <c r="B8" i="11"/>
  <c r="B9" i="11"/>
  <c r="C7" i="11"/>
  <c r="B7" i="11"/>
  <c r="C6" i="11"/>
  <c r="B6" i="11"/>
  <c r="C5" i="11"/>
  <c r="B5" i="11"/>
  <c r="C4" i="11"/>
  <c r="B4" i="11"/>
  <c r="C3" i="11"/>
  <c r="B3" i="11"/>
  <c r="C38" i="10"/>
  <c r="C39" i="10"/>
  <c r="B38" i="10"/>
  <c r="B39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9" i="10"/>
  <c r="C10" i="10"/>
  <c r="B9" i="10"/>
  <c r="B10" i="10"/>
  <c r="C8" i="10"/>
  <c r="B8" i="10"/>
  <c r="C7" i="10"/>
  <c r="B7" i="10"/>
  <c r="C6" i="10"/>
  <c r="B6" i="10"/>
  <c r="C5" i="10"/>
  <c r="B5" i="10"/>
  <c r="C4" i="10"/>
  <c r="B4" i="10"/>
  <c r="C3" i="10"/>
  <c r="B3" i="10"/>
  <c r="F55" i="9"/>
  <c r="F56" i="9"/>
  <c r="E55" i="9"/>
  <c r="E56" i="9"/>
  <c r="D55" i="9"/>
  <c r="D56" i="9"/>
  <c r="C55" i="9"/>
  <c r="C56" i="9"/>
  <c r="B55" i="9"/>
  <c r="B56" i="9"/>
  <c r="F54" i="9"/>
  <c r="E54" i="9"/>
  <c r="D54" i="9"/>
  <c r="C54" i="9"/>
  <c r="B54" i="9"/>
  <c r="F53" i="9"/>
  <c r="E53" i="9"/>
  <c r="D53" i="9"/>
  <c r="C53" i="9"/>
  <c r="B53" i="9"/>
  <c r="F52" i="9"/>
  <c r="E52" i="9"/>
  <c r="D52" i="9"/>
  <c r="C52" i="9"/>
  <c r="B52" i="9"/>
  <c r="F51" i="9"/>
  <c r="E51" i="9"/>
  <c r="D51" i="9"/>
  <c r="C51" i="9"/>
  <c r="B51" i="9"/>
  <c r="F50" i="9"/>
  <c r="E50" i="9"/>
  <c r="D50" i="9"/>
  <c r="C50" i="9"/>
  <c r="B50" i="9"/>
  <c r="F49" i="9"/>
  <c r="E49" i="9"/>
  <c r="D49" i="9"/>
  <c r="C49" i="9"/>
  <c r="B49" i="9"/>
  <c r="F9" i="9"/>
  <c r="F10" i="9"/>
  <c r="E9" i="9"/>
  <c r="E10" i="9"/>
  <c r="D9" i="9"/>
  <c r="D10" i="9"/>
  <c r="C9" i="9"/>
  <c r="C10" i="9"/>
  <c r="B9" i="9"/>
  <c r="B10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F3" i="9"/>
  <c r="E3" i="9"/>
  <c r="D3" i="9"/>
  <c r="C3" i="9"/>
  <c r="B3" i="9"/>
  <c r="H69" i="8"/>
  <c r="H70" i="8"/>
  <c r="G69" i="8"/>
  <c r="G70" i="8"/>
  <c r="F69" i="8"/>
  <c r="F70" i="8"/>
  <c r="E69" i="8"/>
  <c r="E70" i="8"/>
  <c r="D69" i="8"/>
  <c r="D70" i="8"/>
  <c r="C69" i="8"/>
  <c r="C70" i="8"/>
  <c r="B69" i="8"/>
  <c r="B70" i="8"/>
  <c r="H68" i="8"/>
  <c r="G68" i="8"/>
  <c r="F68" i="8"/>
  <c r="E68" i="8"/>
  <c r="D68" i="8"/>
  <c r="C68" i="8"/>
  <c r="B68" i="8"/>
  <c r="H67" i="8"/>
  <c r="G67" i="8"/>
  <c r="F67" i="8"/>
  <c r="E67" i="8"/>
  <c r="D67" i="8"/>
  <c r="C67" i="8"/>
  <c r="B67" i="8"/>
  <c r="H66" i="8"/>
  <c r="G66" i="8"/>
  <c r="F66" i="8"/>
  <c r="E66" i="8"/>
  <c r="D66" i="8"/>
  <c r="C66" i="8"/>
  <c r="B66" i="8"/>
  <c r="H65" i="8"/>
  <c r="G65" i="8"/>
  <c r="F65" i="8"/>
  <c r="E65" i="8"/>
  <c r="D65" i="8"/>
  <c r="C65" i="8"/>
  <c r="B65" i="8"/>
  <c r="H64" i="8"/>
  <c r="G64" i="8"/>
  <c r="F64" i="8"/>
  <c r="E64" i="8"/>
  <c r="D64" i="8"/>
  <c r="C64" i="8"/>
  <c r="B64" i="8"/>
  <c r="H8" i="8"/>
  <c r="H9" i="8"/>
  <c r="G8" i="8"/>
  <c r="G9" i="8"/>
  <c r="F8" i="8"/>
  <c r="F9" i="8"/>
  <c r="E8" i="8"/>
  <c r="E9" i="8"/>
  <c r="D8" i="8"/>
  <c r="D9" i="8"/>
  <c r="C8" i="8"/>
  <c r="C9" i="8"/>
  <c r="B8" i="8"/>
  <c r="B9" i="8"/>
  <c r="H7" i="8"/>
  <c r="G7" i="8"/>
  <c r="F7" i="8"/>
  <c r="E7" i="8"/>
  <c r="D7" i="8"/>
  <c r="C7" i="8"/>
  <c r="B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H4" i="8"/>
  <c r="G4" i="8"/>
  <c r="F4" i="8"/>
  <c r="E4" i="8"/>
  <c r="D4" i="8"/>
  <c r="C4" i="8"/>
  <c r="B4" i="8"/>
  <c r="H3" i="8"/>
  <c r="G3" i="8"/>
  <c r="F3" i="8"/>
  <c r="E3" i="8"/>
  <c r="D3" i="8"/>
  <c r="C3" i="8"/>
  <c r="B3" i="8"/>
  <c r="H71" i="7"/>
  <c r="H72" i="7"/>
  <c r="G71" i="7"/>
  <c r="G72" i="7"/>
  <c r="F71" i="7"/>
  <c r="F72" i="7"/>
  <c r="E71" i="7"/>
  <c r="E72" i="7"/>
  <c r="D71" i="7"/>
  <c r="D72" i="7"/>
  <c r="C71" i="7"/>
  <c r="C72" i="7"/>
  <c r="B71" i="7"/>
  <c r="B72" i="7"/>
  <c r="H70" i="7"/>
  <c r="G70" i="7"/>
  <c r="F70" i="7"/>
  <c r="E70" i="7"/>
  <c r="D70" i="7"/>
  <c r="C70" i="7"/>
  <c r="B70" i="7"/>
  <c r="H69" i="7"/>
  <c r="G69" i="7"/>
  <c r="F69" i="7"/>
  <c r="E69" i="7"/>
  <c r="D69" i="7"/>
  <c r="C69" i="7"/>
  <c r="B69" i="7"/>
  <c r="H68" i="7"/>
  <c r="G68" i="7"/>
  <c r="F68" i="7"/>
  <c r="E68" i="7"/>
  <c r="D68" i="7"/>
  <c r="C68" i="7"/>
  <c r="B68" i="7"/>
  <c r="H67" i="7"/>
  <c r="G67" i="7"/>
  <c r="F67" i="7"/>
  <c r="E67" i="7"/>
  <c r="D67" i="7"/>
  <c r="C67" i="7"/>
  <c r="B67" i="7"/>
  <c r="H66" i="7"/>
  <c r="G66" i="7"/>
  <c r="F66" i="7"/>
  <c r="E66" i="7"/>
  <c r="D66" i="7"/>
  <c r="C66" i="7"/>
  <c r="B66" i="7"/>
  <c r="H65" i="7"/>
  <c r="G65" i="7"/>
  <c r="F65" i="7"/>
  <c r="E65" i="7"/>
  <c r="D65" i="7"/>
  <c r="C65" i="7"/>
  <c r="B65" i="7"/>
  <c r="H9" i="7"/>
  <c r="H10" i="7"/>
  <c r="G9" i="7"/>
  <c r="G10" i="7"/>
  <c r="F9" i="7"/>
  <c r="F10" i="7"/>
  <c r="E9" i="7"/>
  <c r="E10" i="7"/>
  <c r="D9" i="7"/>
  <c r="D10" i="7"/>
  <c r="C9" i="7"/>
  <c r="C10" i="7"/>
  <c r="B9" i="7"/>
  <c r="B10" i="7"/>
  <c r="H8" i="7"/>
  <c r="G8" i="7"/>
  <c r="F8" i="7"/>
  <c r="E8" i="7"/>
  <c r="D8" i="7"/>
  <c r="C8" i="7"/>
  <c r="B8" i="7"/>
  <c r="H7" i="7"/>
  <c r="G7" i="7"/>
  <c r="F7" i="7"/>
  <c r="E7" i="7"/>
  <c r="D7" i="7"/>
  <c r="C7" i="7"/>
  <c r="B7" i="7"/>
  <c r="H6" i="7"/>
  <c r="G6" i="7"/>
  <c r="F6" i="7"/>
  <c r="E6" i="7"/>
  <c r="D6" i="7"/>
  <c r="C6" i="7"/>
  <c r="B6" i="7"/>
  <c r="H5" i="7"/>
  <c r="G5" i="7"/>
  <c r="F5" i="7"/>
  <c r="E5" i="7"/>
  <c r="D5" i="7"/>
  <c r="C5" i="7"/>
  <c r="B5" i="7"/>
  <c r="H4" i="7"/>
  <c r="G4" i="7"/>
  <c r="F4" i="7"/>
  <c r="E4" i="7"/>
  <c r="D4" i="7"/>
  <c r="C4" i="7"/>
  <c r="B4" i="7"/>
  <c r="H3" i="7"/>
  <c r="G3" i="7"/>
  <c r="F3" i="7"/>
  <c r="E3" i="7"/>
  <c r="D3" i="7"/>
  <c r="C3" i="7"/>
  <c r="B3" i="7"/>
</calcChain>
</file>

<file path=xl/sharedStrings.xml><?xml version="1.0" encoding="utf-8"?>
<sst xmlns="http://schemas.openxmlformats.org/spreadsheetml/2006/main" count="676" uniqueCount="161">
  <si>
    <t>KOSIS 기업생멸행정통계·전국사업체조사 (대구·서울·전국, 2019~2025)</t>
  </si>
  <si>
    <t>출처: 국가데이터처(구 통계청) KOSIS 국가통계포털 (https://kosis.kr)</t>
  </si>
  <si>
    <t>수집일: 2026-10-28</t>
  </si>
  <si>
    <t>[시트 구성]</t>
  </si>
  <si>
    <t>기업생멸_산업별: 기업생멸행정통계 DT_6BD1101 시도별 산업(대분류)별 기업수(활동/신생/소멸), 전국·서울·대구, 2019~2025p. 신생률·소멸률은 %.</t>
  </si>
  <si>
    <t>기업생멸_시도별: 위 통계표의 시도별 전체 산업 합계 (17개 시도 + 전국).</t>
  </si>
  <si>
    <t>사업체_산업별(2020~24): 전국사업체조사 DT_1K52F08 시도·산업별 사업체수·종사자수·매출액, 2020~2024 (신기준).</t>
  </si>
  <si>
    <t>사업체_산업별(2019~20구): 전국사업체조사 DT_1K52C01 (구기준) 2019~2020. 사업체수·종사자수만 제공.</t>
  </si>
  <si>
    <t>사업체_시도별: 시도별 전체산업. 구기준(2019~2020)과 신기준(2020~2024)을 기준 열로 구분해 함께 수록.</t>
  </si>
  <si>
    <t>[주의사항]</t>
  </si>
  <si>
    <t>1. 2025년 기업생멸 값은 잠정치(p)이며 소멸기업수·소멸률은 아직 공표되지 않아 비어 있음. 2026년 자료는 존재하지 않음 (기업생멸 최신 2025, 사업체조사 최신 2024).</t>
  </si>
  <si>
    <t>2. 전국사업체조사 2019년은 구기준 표에만 있고 2020년 이후 신기준과 연속되지 않음. 같은 2020년이 구기준 전국 4,325,195개, 신기준 6,032,022개로 크게 다름. 2019와 2020~2024를 하나의 추세로 잇지 말 것.</t>
  </si>
  <si>
    <t>3. 기업생멸은 기업 단위, 전국사업체조사는 사업체(장소) 단위로 개념이 다름. 서로 직접 비교·합산하지 말 것.</t>
  </si>
  <si>
    <t>4. 산업은 대분류 기준. 사업체조사는 공공행정(84)이 포함되고 기업생멸에는 없음.</t>
  </si>
  <si>
    <t>5. 대구 광업 일부 값 "-"는 해당 없음(0 또는 자료없음). 대구 광업은 표본이 매우 작아 해석 주의.</t>
  </si>
  <si>
    <t>6. 매출액 단위는 백만원. 사업체조사 매출액은 KOSIS 표 주석 기준.</t>
  </si>
  <si>
    <t>지역</t>
  </si>
  <si>
    <t>산업</t>
  </si>
  <si>
    <t>2019_활동</t>
  </si>
  <si>
    <t>2019_신생</t>
  </si>
  <si>
    <t>2019_소멸</t>
  </si>
  <si>
    <t>2019_신생률(%)</t>
  </si>
  <si>
    <t>2019_소멸률(%)</t>
  </si>
  <si>
    <t>2020_활동</t>
  </si>
  <si>
    <t>2020_신생</t>
  </si>
  <si>
    <t>2020_소멸</t>
  </si>
  <si>
    <t>2020_신생률(%)</t>
  </si>
  <si>
    <t>2020_소멸률(%)</t>
  </si>
  <si>
    <t>2021_활동</t>
  </si>
  <si>
    <t>2021_신생</t>
  </si>
  <si>
    <t>2021_소멸</t>
  </si>
  <si>
    <t>2021_신생률(%)</t>
  </si>
  <si>
    <t>2021_소멸률(%)</t>
  </si>
  <si>
    <t>2022_활동</t>
  </si>
  <si>
    <t>2022_신생</t>
  </si>
  <si>
    <t>2022_소멸</t>
  </si>
  <si>
    <t>2022_신생률(%)</t>
  </si>
  <si>
    <t>2022_소멸률(%)</t>
  </si>
  <si>
    <t>2023_활동</t>
  </si>
  <si>
    <t>2023_신생</t>
  </si>
  <si>
    <t>2023_소멸</t>
  </si>
  <si>
    <t>2023_신생률(%)</t>
  </si>
  <si>
    <t>2023_소멸률(%)</t>
  </si>
  <si>
    <t>2024_활동</t>
  </si>
  <si>
    <t>2024_신생</t>
  </si>
  <si>
    <t>2024_소멸</t>
  </si>
  <si>
    <t>2024_신생률(%)</t>
  </si>
  <si>
    <t>2024_소멸률(%)</t>
  </si>
  <si>
    <t>2025p_활동</t>
  </si>
  <si>
    <t>2025p_신생</t>
  </si>
  <si>
    <t>2025p_신생률(%)</t>
  </si>
  <si>
    <t>전국</t>
  </si>
  <si>
    <t>전체</t>
  </si>
  <si>
    <t>농업 임업 및 어업</t>
  </si>
  <si>
    <t>광업</t>
  </si>
  <si>
    <t>제조업</t>
  </si>
  <si>
    <t>전기 가스 증기 및 공기 조절 공급업</t>
  </si>
  <si>
    <t>수도 하수 및 폐기물 처리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</si>
  <si>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</si>
  <si>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</si>
  <si>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</si>
  <si>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</si>
  <si>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</si>
  <si>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</si>
  <si>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</si>
  <si>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전문과학기술서비스업</t>
  </si>
  <si>
    <t>사업시설관리 사업지원 및 임대 서비스업</t>
  </si>
  <si>
    <t>교육서비스업</t>
  </si>
  <si>
    <t>보건업 및 사회복지 서비스업</t>
  </si>
  <si>
    <t>예술 스포츠 및 여가관련 서비스업</t>
  </si>
  <si>
    <t>협회단체 수리 및 개인서비스업</t>
  </si>
  <si>
    <t>서울</t>
  </si>
  <si>
    <t>대구</t>
  </si>
  <si>
    <t>-</t>
  </si>
  <si>
    <t>부산광역시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</si>
  <si>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</si>
  <si>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</si>
  <si>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</si>
  <si>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</si>
  <si>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</si>
  <si>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</si>
  <si>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</si>
  <si>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</si>
  <si>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</si>
  <si>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</si>
  <si>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</si>
  <si>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</si>
  <si>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</si>
  <si>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</si>
  <si>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2020_사업체수(개)</t>
  </si>
  <si>
    <t>2020_종사자수(명)</t>
  </si>
  <si>
    <t>2020_매출액(백만원)</t>
  </si>
  <si>
    <t>2021_사업체수(개)</t>
  </si>
  <si>
    <t>2021_종사자수(명)</t>
  </si>
  <si>
    <t>2021_매출액(백만원)</t>
  </si>
  <si>
    <t>2022_사업체수(개)</t>
  </si>
  <si>
    <t>2022_종사자수(명)</t>
  </si>
  <si>
    <t>2022_매출액(백만원)</t>
  </si>
  <si>
    <t>2023_사업체수(개)</t>
  </si>
  <si>
    <t>2023_종사자수(명)</t>
  </si>
  <si>
    <t>2023_매출액(백만원)</t>
  </si>
  <si>
    <t>2024_사업체수(개)</t>
  </si>
  <si>
    <t>2024_종사자수(명)</t>
  </si>
  <si>
    <t>2024_매출액(백만원)</t>
  </si>
  <si>
    <t>전체 산업</t>
  </si>
  <si>
    <t>농업 임업 및 어업(01~03)</t>
  </si>
  <si>
    <t>광업(05~08)</t>
  </si>
  <si>
    <t>제조업(10~34)</t>
  </si>
  <si>
    <t>전기 가스 증기 및 공기조절 공급업(35)</t>
  </si>
  <si>
    <t>수도 하수 및 폐기물 처리 원료 재생업(36~39)</t>
  </si>
  <si>
    <t>건설업(41~42)</t>
  </si>
  <si>
    <t>도매 및 소매업(45~47)</t>
  </si>
  <si>
    <t>운수 및 창고업(49~52)</t>
  </si>
  <si>
    <t>숙박 및 음식점업(55~56)</t>
  </si>
  <si>
    <t>정보통신업(58~63)</t>
  </si>
  <si>
    <t>금융 및 보험업(64~66)</t>
  </si>
  <si>
    <t>부동산업(68)</t>
  </si>
  <si>
    <t>전문 과학 및 기술 서비스업(70~73)</t>
  </si>
  <si>
    <t>사업시설 관리 사업 지원 및 임대 서비스업(74~76)</t>
  </si>
  <si>
    <t>공공행정 국방 및 사회보장 행정(84)</t>
  </si>
  <si>
    <t>교육 서비스업(85)</t>
  </si>
  <si>
    <t>보건업 및 사회복지 서비스업(86~87)</t>
  </si>
  <si>
    <t>예술 스포츠 및 여가관련 서비스업(90~91)</t>
  </si>
  <si>
    <t>협회 및 단체 수리 및 기타 개인 서비스업(94~96)</t>
  </si>
  <si>
    <t>2019_사업체수(개)</t>
  </si>
  <si>
    <t>2019_종사자수(명)</t>
  </si>
  <si>
    <t>기준</t>
  </si>
  <si>
    <t>구기준(~2020)</t>
  </si>
  <si>
    <t>부산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</si>
  <si>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</si>
  <si>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</si>
  <si>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</si>
  <si>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</si>
  <si>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</si>
  <si>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</si>
  <si>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</si>
  <si>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</si>
  <si>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</si>
  <si>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</si>
  <si>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</si>
  <si>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</si>
  <si>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</si>
  <si>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</si>
  <si>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신기준(2020~)</t>
  </si>
  <si>
    <t>대구 활동기업수 — 산업별 구성비 (상위 6개 산업 + 기타)</t>
  </si>
  <si>
    <t>구분</t>
  </si>
  <si>
    <t>2025(잠정)</t>
  </si>
  <si>
    <t>기타</t>
  </si>
  <si>
    <t>합계</t>
  </si>
  <si>
    <t>대구 신생기업수 — 산업별 구성비 (활동기업 상위 6개 산업 + 기타)</t>
  </si>
  <si>
    <t>활동기업수 — 시도별 구성비 (서울·경기·부산·대구·인천 + 기타 시도)</t>
  </si>
  <si>
    <t>신생기업수 — 시도별 구성비 (서울·경기·부산·대구·인천 + 기타 시도)</t>
  </si>
  <si>
    <t>대구 사업체수 — 산업별 구성비 (상위 6개 산업 + 기타)</t>
  </si>
  <si>
    <t>협회 및 단체 수리 및 기타 개인 서비스업</t>
  </si>
  <si>
    <t>대구 종사자수 — 산업별 구성비 (사업체수 상위 6개 산업 + 기타)</t>
  </si>
  <si>
    <t>대구 사업체수 — 산업별 구성비 (구기준, 상위 6개 산업 + 기타)</t>
  </si>
  <si>
    <t>교육 서비스업</t>
  </si>
  <si>
    <t>대구 종사자수 — 산업별 구성비 (구기준)</t>
  </si>
  <si>
    <t>사업체수 — 시도별 구성비 (구기준, 서울·경기·부산·대구·인천 + 기타 시도)</t>
  </si>
  <si>
    <t>사업체수 — 시도별 구성비 (신기준, 서울·경기·부산·대구·인천 + 기타 시도)</t>
  </si>
  <si>
    <t>차트_ 시트: 각 데이터 시트의 연도별 구성비를 원그래프로 표시 (표는 데이터 시트 셀을 수식으로 참조, 상위 항목 외는 기타로 합산). 산업별은 대구 기준.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</si>
</sst>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5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3" fontId="0" fillId="3" borderId="0" xfId="0" applyNumberFormat="1" applyFill="1">
      <alignment vertical="center"/>
    </xf>
    <xf numFmtId="176" fontId="0" fillId="3" borderId="0" xfId="0" applyNumberFormat="1" applyFill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D3-4A3C-9F50-DA7593196201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0D3-4A3C-9F50-DA7593196201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D3-4A3C-9F50-DA7593196201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0D3-4A3C-9F50-DA7593196201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D3-4A3C-9F50-DA7593196201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0D3-4A3C-9F50-DA7593196201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D3-4A3C-9F50-DA7593196201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차트_기업생멸_산업별!$B$3:$B$9</c:f>
              <c:numCache>
                <c:formatCode>#,##0</c:formatCode>
                <c:ptCount val="7"/>
                <c:pt idx="0">
                  <c:v>71083</c:v>
                </c:pt>
                <c:pt idx="1">
                  <c:v>55658</c:v>
                </c:pt>
                <c:pt idx="2">
                  <c:v>38836</c:v>
                </c:pt>
                <c:pt idx="3">
                  <c:v>30764</c:v>
                </c:pt>
                <c:pt idx="4">
                  <c:v>31820</c:v>
                </c:pt>
                <c:pt idx="5">
                  <c:v>17757</c:v>
                </c:pt>
                <c:pt idx="6">
                  <c:v>50266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D3-4A3C-9F50-DA759319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D7-4CE3-B0C6-594B11EBE05A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2D7-4CE3-B0C6-594B11EBE05A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D7-4CE3-B0C6-594B11EBE05A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2D7-4CE3-B0C6-594B11EBE05A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D7-4CE3-B0C6-594B11EBE05A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2D7-4CE3-B0C6-594B11EBE05A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D7-4CE3-B0C6-594B11EBE05A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차트_기업생멸_산업별!$C$3:$C$9</c:f>
              <c:numCache>
                <c:formatCode>#,##0</c:formatCode>
                <c:ptCount val="7"/>
                <c:pt idx="0">
                  <c:v>71764</c:v>
                </c:pt>
                <c:pt idx="1">
                  <c:v>59952</c:v>
                </c:pt>
                <c:pt idx="2">
                  <c:v>38619</c:v>
                </c:pt>
                <c:pt idx="3">
                  <c:v>31044</c:v>
                </c:pt>
                <c:pt idx="4">
                  <c:v>31763</c:v>
                </c:pt>
                <c:pt idx="5">
                  <c:v>18629</c:v>
                </c:pt>
                <c:pt idx="6">
                  <c:v>52108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D7-4CE3-B0C6-594B11EBE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B1-4E57-9899-47F09B6D24E3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EB1-4E57-9899-47F09B6D24E3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B1-4E57-9899-47F09B6D24E3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EB1-4E57-9899-47F09B6D24E3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B1-4E57-9899-47F09B6D24E3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EB1-4E57-9899-47F09B6D24E3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B1-4E57-9899-47F09B6D24E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차트_기업생멸_산업별!$D$3:$D$9</c:f>
              <c:numCache>
                <c:formatCode>#,##0</c:formatCode>
                <c:ptCount val="7"/>
                <c:pt idx="0">
                  <c:v>72770</c:v>
                </c:pt>
                <c:pt idx="1">
                  <c:v>61205</c:v>
                </c:pt>
                <c:pt idx="2">
                  <c:v>38699</c:v>
                </c:pt>
                <c:pt idx="3">
                  <c:v>31413</c:v>
                </c:pt>
                <c:pt idx="4">
                  <c:v>31889</c:v>
                </c:pt>
                <c:pt idx="5">
                  <c:v>19632</c:v>
                </c:pt>
                <c:pt idx="6">
                  <c:v>54332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B1-4E57-9899-47F09B6D2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E2-406E-9CCF-538726AF632F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3E2-406E-9CCF-538726AF632F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E2-406E-9CCF-538726AF632F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3E2-406E-9CCF-538726AF632F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E2-406E-9CCF-538726AF632F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3E2-406E-9CCF-538726AF632F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E2-406E-9CCF-538726AF632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차트_기업생멸_산업별!$E$3:$E$9</c:f>
              <c:numCache>
                <c:formatCode>#,##0</c:formatCode>
                <c:ptCount val="7"/>
                <c:pt idx="0">
                  <c:v>73648</c:v>
                </c:pt>
                <c:pt idx="1">
                  <c:v>61224</c:v>
                </c:pt>
                <c:pt idx="2">
                  <c:v>38671</c:v>
                </c:pt>
                <c:pt idx="3">
                  <c:v>31760</c:v>
                </c:pt>
                <c:pt idx="4">
                  <c:v>31668</c:v>
                </c:pt>
                <c:pt idx="5">
                  <c:v>20239</c:v>
                </c:pt>
                <c:pt idx="6">
                  <c:v>56261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E2-406E-9CCF-538726AF6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A5-4F18-A42F-2CB69D06A3B5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9A5-4F18-A42F-2CB69D06A3B5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A5-4F18-A42F-2CB69D06A3B5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9A5-4F18-A42F-2CB69D06A3B5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A5-4F18-A42F-2CB69D06A3B5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9A5-4F18-A42F-2CB69D06A3B5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A5-4F18-A42F-2CB69D06A3B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차트_기업생멸_산업별!$F$3:$F$9</c:f>
              <c:numCache>
                <c:formatCode>#,##0</c:formatCode>
                <c:ptCount val="7"/>
                <c:pt idx="0">
                  <c:v>75595</c:v>
                </c:pt>
                <c:pt idx="1">
                  <c:v>61889</c:v>
                </c:pt>
                <c:pt idx="2">
                  <c:v>40068</c:v>
                </c:pt>
                <c:pt idx="3">
                  <c:v>32331</c:v>
                </c:pt>
                <c:pt idx="4">
                  <c:v>31666</c:v>
                </c:pt>
                <c:pt idx="5">
                  <c:v>21232</c:v>
                </c:pt>
                <c:pt idx="6">
                  <c:v>59179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A5-4F18-A42F-2CB69D06A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C2-4D11-8559-74D0BB84F6A9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C2-4D11-8559-74D0BB84F6A9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C2-4D11-8559-74D0BB84F6A9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C2-4D11-8559-74D0BB84F6A9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C2-4D11-8559-74D0BB84F6A9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AC2-4D11-8559-74D0BB84F6A9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C2-4D11-8559-74D0BB84F6A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차트_기업생멸_산업별!$G$3:$G$9</c:f>
              <c:numCache>
                <c:formatCode>#,##0</c:formatCode>
                <c:ptCount val="7"/>
                <c:pt idx="0">
                  <c:v>75085</c:v>
                </c:pt>
                <c:pt idx="1">
                  <c:v>62110</c:v>
                </c:pt>
                <c:pt idx="2">
                  <c:v>39602</c:v>
                </c:pt>
                <c:pt idx="3">
                  <c:v>32526</c:v>
                </c:pt>
                <c:pt idx="4">
                  <c:v>31177</c:v>
                </c:pt>
                <c:pt idx="5">
                  <c:v>21419</c:v>
                </c:pt>
                <c:pt idx="6">
                  <c:v>61527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C2-4D11-8559-74D0BB84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활동기업 </a:t>
            </a:r>
            <a:r>
              <a:rPr lang="en-US"/>
              <a:t>2025(</a:t>
            </a:r>
            <a:r>
              <a:rPr lang="ko-KR"/>
              <a:t>잠정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2025(잠정)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BE-4C77-A3D4-EABE25E5195C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BE-4C77-A3D4-EABE25E5195C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7BE-4C77-A3D4-EABE25E5195C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BE-4C77-A3D4-EABE25E5195C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7BE-4C77-A3D4-EABE25E5195C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7BE-4C77-A3D4-EABE25E5195C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7BE-4C77-A3D4-EABE25E5195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차트_기업생멸_산업별!$A$3:$A$9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차트_기업생멸_산업별!$H$3:$H$9</c:f>
              <c:numCache>
                <c:formatCode>#,##0</c:formatCode>
                <c:ptCount val="7"/>
                <c:pt idx="0">
                  <c:v>75809</c:v>
                </c:pt>
                <c:pt idx="1">
                  <c:v>61450</c:v>
                </c:pt>
                <c:pt idx="2">
                  <c:v>38665</c:v>
                </c:pt>
                <c:pt idx="3">
                  <c:v>32656</c:v>
                </c:pt>
                <c:pt idx="4">
                  <c:v>30738</c:v>
                </c:pt>
                <c:pt idx="5">
                  <c:v>21457</c:v>
                </c:pt>
                <c:pt idx="6">
                  <c:v>64680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BE-4C77-A3D4-EABE25E51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0F6-478B-AEA2-AC23688E06AE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F6-478B-AEA2-AC23688E06AE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0F6-478B-AEA2-AC23688E06AE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F6-478B-AEA2-AC23688E06AE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0F6-478B-AEA2-AC23688E06AE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F6-478B-AEA2-AC23688E06AE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0F6-478B-AEA2-AC23688E06A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차트_기업생멸_산업별!$B$65:$B$71</c:f>
              <c:numCache>
                <c:formatCode>#,##0</c:formatCode>
                <c:ptCount val="7"/>
                <c:pt idx="0">
                  <c:v>9715</c:v>
                </c:pt>
                <c:pt idx="1">
                  <c:v>7993</c:v>
                </c:pt>
                <c:pt idx="2">
                  <c:v>7860</c:v>
                </c:pt>
                <c:pt idx="3">
                  <c:v>2211</c:v>
                </c:pt>
                <c:pt idx="4">
                  <c:v>2150</c:v>
                </c:pt>
                <c:pt idx="5">
                  <c:v>1967</c:v>
                </c:pt>
                <c:pt idx="6">
                  <c:v>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F6-478B-AEA2-AC23688E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7E5-42FC-87A7-D43E8407323D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E5-42FC-87A7-D43E8407323D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7E5-42FC-87A7-D43E8407323D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E5-42FC-87A7-D43E8407323D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7E5-42FC-87A7-D43E8407323D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7E5-42FC-87A7-D43E8407323D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7E5-42FC-87A7-D43E8407323D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차트_기업생멸_산업별!$C$65:$C$71</c:f>
              <c:numCache>
                <c:formatCode>#,##0</c:formatCode>
                <c:ptCount val="7"/>
                <c:pt idx="0">
                  <c:v>9606</c:v>
                </c:pt>
                <c:pt idx="1">
                  <c:v>10663</c:v>
                </c:pt>
                <c:pt idx="2">
                  <c:v>6817</c:v>
                </c:pt>
                <c:pt idx="3">
                  <c:v>2165</c:v>
                </c:pt>
                <c:pt idx="4">
                  <c:v>2072</c:v>
                </c:pt>
                <c:pt idx="5">
                  <c:v>2182</c:v>
                </c:pt>
                <c:pt idx="6">
                  <c:v>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E5-42FC-87A7-D43E84073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7F1-45F9-966B-4D271CCCB124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F1-45F9-966B-4D271CCCB124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7F1-45F9-966B-4D271CCCB124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F1-45F9-966B-4D271CCCB124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7F1-45F9-966B-4D271CCCB124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F1-45F9-966B-4D271CCCB124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7F1-45F9-966B-4D271CCCB12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차트_기업생멸_산업별!$D$65:$D$71</c:f>
              <c:numCache>
                <c:formatCode>#,##0</c:formatCode>
                <c:ptCount val="7"/>
                <c:pt idx="0">
                  <c:v>9585</c:v>
                </c:pt>
                <c:pt idx="1">
                  <c:v>8383</c:v>
                </c:pt>
                <c:pt idx="2">
                  <c:v>6703</c:v>
                </c:pt>
                <c:pt idx="3">
                  <c:v>2256</c:v>
                </c:pt>
                <c:pt idx="4">
                  <c:v>2172</c:v>
                </c:pt>
                <c:pt idx="5">
                  <c:v>2173</c:v>
                </c:pt>
                <c:pt idx="6">
                  <c:v>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F1-45F9-966B-4D271CCCB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8E8-4A50-B0F9-E013B79B5A9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E8-4A50-B0F9-E013B79B5A9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8E8-4A50-B0F9-E013B79B5A9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E8-4A50-B0F9-E013B79B5A9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E8-4A50-B0F9-E013B79B5A9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E8-4A50-B0F9-E013B79B5A98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8E8-4A50-B0F9-E013B79B5A9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차트_기업생멸_산업별!$E$65:$E$71</c:f>
              <c:numCache>
                <c:formatCode>#,##0</c:formatCode>
                <c:ptCount val="7"/>
                <c:pt idx="0">
                  <c:v>9575</c:v>
                </c:pt>
                <c:pt idx="1">
                  <c:v>7062</c:v>
                </c:pt>
                <c:pt idx="2">
                  <c:v>6095</c:v>
                </c:pt>
                <c:pt idx="3">
                  <c:v>2510</c:v>
                </c:pt>
                <c:pt idx="4">
                  <c:v>1697</c:v>
                </c:pt>
                <c:pt idx="5">
                  <c:v>1997</c:v>
                </c:pt>
                <c:pt idx="6">
                  <c:v>7717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E8-4A50-B0F9-E013B79B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8DD-4E0B-8656-EB1599395E03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DD-4E0B-8656-EB1599395E03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8DD-4E0B-8656-EB1599395E03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DD-4E0B-8656-EB1599395E03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DD-4E0B-8656-EB1599395E03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DD-4E0B-8656-EB1599395E03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DD-4E0B-8656-EB1599395E0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차트_기업생멸_산업별!$F$65:$F$71</c:f>
              <c:numCache>
                <c:formatCode>#,##0</c:formatCode>
                <c:ptCount val="7"/>
                <c:pt idx="0">
                  <c:v>9853</c:v>
                </c:pt>
                <c:pt idx="1">
                  <c:v>6055</c:v>
                </c:pt>
                <c:pt idx="2">
                  <c:v>6763</c:v>
                </c:pt>
                <c:pt idx="3">
                  <c:v>2615</c:v>
                </c:pt>
                <c:pt idx="4">
                  <c:v>1624</c:v>
                </c:pt>
                <c:pt idx="5">
                  <c:v>2003</c:v>
                </c:pt>
                <c:pt idx="6">
                  <c:v>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DD-4E0B-8656-EB159939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74B-4CF6-A04F-8CE764DCA8A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4B-4CF6-A04F-8CE764DCA8A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74B-4CF6-A04F-8CE764DCA8A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4B-4CF6-A04F-8CE764DCA8A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74B-4CF6-A04F-8CE764DCA8A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4B-4CF6-A04F-8CE764DCA8A8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74B-4CF6-A04F-8CE764DCA8A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차트_기업생멸_산업별!$G$65:$G$71</c:f>
              <c:numCache>
                <c:formatCode>#,##0</c:formatCode>
                <c:ptCount val="7"/>
                <c:pt idx="0">
                  <c:v>8813</c:v>
                </c:pt>
                <c:pt idx="1">
                  <c:v>5699</c:v>
                </c:pt>
                <c:pt idx="2">
                  <c:v>6084</c:v>
                </c:pt>
                <c:pt idx="3">
                  <c:v>2465</c:v>
                </c:pt>
                <c:pt idx="4">
                  <c:v>1513</c:v>
                </c:pt>
                <c:pt idx="5">
                  <c:v>1940</c:v>
                </c:pt>
                <c:pt idx="6">
                  <c:v>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4B-4CF6-A04F-8CE764DCA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신생기업 </a:t>
            </a:r>
            <a:r>
              <a:rPr lang="en-US"/>
              <a:t>2025(</a:t>
            </a:r>
            <a:r>
              <a:rPr lang="ko-KR"/>
              <a:t>잠정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2025(잠정)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781-4C03-B655-AFF0A8AC27DC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81-4C03-B655-AFF0A8AC27DC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781-4C03-B655-AFF0A8AC27DC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81-4C03-B655-AFF0A8AC27DC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781-4C03-B655-AFF0A8AC27DC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81-4C03-B655-AFF0A8AC27DC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781-4C03-B655-AFF0A8AC27D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차트_기업생멸_산업별!$A$65:$A$71</c:f>
              <c:strCache>
                <c:ptCount val="7"/>
                <c:pt idx="0">
                  <c:v>도매 및 소매업</c:v>
                </c:pt>
                <c:pt idx="1">
                  <c:v>부동산업</c:v>
                </c:pt>
                <c:pt idx="2">
                  <c:v>숙박 및 음식점업</c:v>
                </c:pt>
                <c:pt idx="3">
                  <c:v>운수 및 창고업</c:v>
                </c:pt>
                <c:pt idx="4">
                  <c:v>제조업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차트_기업생멸_산업별!$H$65:$H$71</c:f>
              <c:numCache>
                <c:formatCode>#,##0</c:formatCode>
                <c:ptCount val="7"/>
                <c:pt idx="0">
                  <c:v>9757</c:v>
                </c:pt>
                <c:pt idx="1">
                  <c:v>5141</c:v>
                </c:pt>
                <c:pt idx="2">
                  <c:v>5355</c:v>
                </c:pt>
                <c:pt idx="3">
                  <c:v>2363</c:v>
                </c:pt>
                <c:pt idx="4">
                  <c:v>1479</c:v>
                </c:pt>
                <c:pt idx="5">
                  <c:v>1845</c:v>
                </c:pt>
                <c:pt idx="6">
                  <c:v>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81-4C03-B655-AFF0A8AC2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62-46E3-B38F-9120F189A8E5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C62-46E3-B38F-9120F189A8E5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62-46E3-B38F-9120F189A8E5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C62-46E3-B38F-9120F189A8E5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62-46E3-B38F-9120F189A8E5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C62-46E3-B38F-9120F189A8E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차트_기업생멸_시도별!$B$3:$B$8</c:f>
              <c:numCache>
                <c:formatCode>#,##0</c:formatCode>
                <c:ptCount val="6"/>
                <c:pt idx="0">
                  <c:v>1416327</c:v>
                </c:pt>
                <c:pt idx="1">
                  <c:v>1684945</c:v>
                </c:pt>
                <c:pt idx="2">
                  <c:v>426396</c:v>
                </c:pt>
                <c:pt idx="3">
                  <c:v>296184</c:v>
                </c:pt>
                <c:pt idx="4">
                  <c:v>350252</c:v>
                </c:pt>
                <c:pt idx="5">
                  <c:v>2402557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62-46E3-B38F-9120F189A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E7-47C6-B411-EC5A1A1B7773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7E7-47C6-B411-EC5A1A1B7773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E7-47C6-B411-EC5A1A1B7773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7E7-47C6-B411-EC5A1A1B7773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E7-47C6-B411-EC5A1A1B7773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7E7-47C6-B411-EC5A1A1B777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차트_기업생멸_시도별!$C$3:$C$8</c:f>
              <c:numCache>
                <c:formatCode>#,##0</c:formatCode>
                <c:ptCount val="6"/>
                <c:pt idx="0">
                  <c:v>1461453</c:v>
                </c:pt>
                <c:pt idx="1">
                  <c:v>1790631</c:v>
                </c:pt>
                <c:pt idx="2">
                  <c:v>439833</c:v>
                </c:pt>
                <c:pt idx="3">
                  <c:v>303879</c:v>
                </c:pt>
                <c:pt idx="4">
                  <c:v>366284</c:v>
                </c:pt>
                <c:pt idx="5">
                  <c:v>2511148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E7-47C6-B411-EC5A1A1B7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EF-4E77-9587-9416F2D6FDC0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1EF-4E77-9587-9416F2D6FDC0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EF-4E77-9587-9416F2D6FDC0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1EF-4E77-9587-9416F2D6FDC0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EF-4E77-9587-9416F2D6FDC0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1EF-4E77-9587-9416F2D6FDC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차트_기업생멸_시도별!$D$3:$D$8</c:f>
              <c:numCache>
                <c:formatCode>#,##0</c:formatCode>
                <c:ptCount val="6"/>
                <c:pt idx="0">
                  <c:v>1477255</c:v>
                </c:pt>
                <c:pt idx="1">
                  <c:v>1893862</c:v>
                </c:pt>
                <c:pt idx="2">
                  <c:v>448653</c:v>
                </c:pt>
                <c:pt idx="3">
                  <c:v>309940</c:v>
                </c:pt>
                <c:pt idx="4">
                  <c:v>384241</c:v>
                </c:pt>
                <c:pt idx="5">
                  <c:v>2599108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EF-4E77-9587-9416F2D6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8D-4802-876B-0613F0C6C0FA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D8D-4802-876B-0613F0C6C0FA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8D-4802-876B-0613F0C6C0FA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D8D-4802-876B-0613F0C6C0FA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8D-4802-876B-0613F0C6C0FA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D8D-4802-876B-0613F0C6C0FA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차트_기업생멸_시도별!$E$3:$E$8</c:f>
              <c:numCache>
                <c:formatCode>#,##0</c:formatCode>
                <c:ptCount val="6"/>
                <c:pt idx="0">
                  <c:v>1506361</c:v>
                </c:pt>
                <c:pt idx="1">
                  <c:v>1981680</c:v>
                </c:pt>
                <c:pt idx="2">
                  <c:v>457428</c:v>
                </c:pt>
                <c:pt idx="3">
                  <c:v>313471</c:v>
                </c:pt>
                <c:pt idx="4">
                  <c:v>403387</c:v>
                </c:pt>
                <c:pt idx="5">
                  <c:v>2690460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8D-4802-876B-0613F0C6C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28-4E9E-80EC-8EE71091625C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F28-4E9E-80EC-8EE71091625C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28-4E9E-80EC-8EE71091625C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F28-4E9E-80EC-8EE71091625C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F28-4E9E-80EC-8EE71091625C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F28-4E9E-80EC-8EE71091625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차트_기업생멸_시도별!$F$3:$F$8</c:f>
              <c:numCache>
                <c:formatCode>#,##0</c:formatCode>
                <c:ptCount val="6"/>
                <c:pt idx="0">
                  <c:v>1530152</c:v>
                </c:pt>
                <c:pt idx="1">
                  <c:v>2060511</c:v>
                </c:pt>
                <c:pt idx="2">
                  <c:v>462846</c:v>
                </c:pt>
                <c:pt idx="3">
                  <c:v>321960</c:v>
                </c:pt>
                <c:pt idx="4">
                  <c:v>420566</c:v>
                </c:pt>
                <c:pt idx="5">
                  <c:v>2742701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28-4E9E-80EC-8EE710916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C2-4E9F-9A80-0C4B13BEDAEB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8C2-4E9F-9A80-0C4B13BEDAEB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C2-4E9F-9A80-0C4B13BEDAEB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C2-4E9F-9A80-0C4B13BEDAEB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C2-4E9F-9A80-0C4B13BEDAEB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C2-4E9F-9A80-0C4B13BEDAE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차트_기업생멸_시도별!$G$3:$G$8</c:f>
              <c:numCache>
                <c:formatCode>#,##0</c:formatCode>
                <c:ptCount val="6"/>
                <c:pt idx="0">
                  <c:v>1529158</c:v>
                </c:pt>
                <c:pt idx="1">
                  <c:v>2118812</c:v>
                </c:pt>
                <c:pt idx="2">
                  <c:v>453922</c:v>
                </c:pt>
                <c:pt idx="3">
                  <c:v>323446</c:v>
                </c:pt>
                <c:pt idx="4">
                  <c:v>429976</c:v>
                </c:pt>
                <c:pt idx="5">
                  <c:v>2786437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C2-4E9F-9A80-0C4B13BE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활동기업 시도별 </a:t>
            </a:r>
            <a:r>
              <a:rPr lang="en-US"/>
              <a:t>2025(</a:t>
            </a:r>
            <a:r>
              <a:rPr lang="ko-KR"/>
              <a:t>잠정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2025(잠정)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0FD-4E9A-8465-535070A5005A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FD-4E9A-8465-535070A5005A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0FD-4E9A-8465-535070A5005A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FD-4E9A-8465-535070A5005A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0FD-4E9A-8465-535070A5005A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FD-4E9A-8465-535070A5005A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차트_기업생멸_시도별!$H$3:$H$8</c:f>
              <c:numCache>
                <c:formatCode>#,##0</c:formatCode>
                <c:ptCount val="6"/>
                <c:pt idx="0">
                  <c:v>1537220</c:v>
                </c:pt>
                <c:pt idx="1">
                  <c:v>2161838</c:v>
                </c:pt>
                <c:pt idx="2">
                  <c:v>455266</c:v>
                </c:pt>
                <c:pt idx="3">
                  <c:v>325455</c:v>
                </c:pt>
                <c:pt idx="4">
                  <c:v>439513</c:v>
                </c:pt>
                <c:pt idx="5">
                  <c:v>2828752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FD-4E9A-8465-535070A5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8F3-418A-B050-E764B5C2062D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F3-418A-B050-E764B5C2062D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8F3-418A-B050-E764B5C2062D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F3-418A-B050-E764B5C2062D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8F3-418A-B050-E764B5C2062D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8F3-418A-B050-E764B5C2062D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차트_기업생멸_시도별!$B$64:$B$69</c:f>
              <c:numCache>
                <c:formatCode>#,##0</c:formatCode>
                <c:ptCount val="6"/>
                <c:pt idx="0">
                  <c:v>204014</c:v>
                </c:pt>
                <c:pt idx="1">
                  <c:v>274258</c:v>
                </c:pt>
                <c:pt idx="2">
                  <c:v>59156</c:v>
                </c:pt>
                <c:pt idx="3">
                  <c:v>40004</c:v>
                </c:pt>
                <c:pt idx="4">
                  <c:v>66439</c:v>
                </c:pt>
                <c:pt idx="5">
                  <c:v>361592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F3-418A-B050-E764B5C20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BE8-4AF2-8647-C3E2EF24B636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E8-4AF2-8647-C3E2EF24B636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BE8-4AF2-8647-C3E2EF24B636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E8-4AF2-8647-C3E2EF24B636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BE8-4AF2-8647-C3E2EF24B636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E8-4AF2-8647-C3E2EF24B63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차트_기업생멸_시도별!$C$64:$C$69</c:f>
              <c:numCache>
                <c:formatCode>#,##0</c:formatCode>
                <c:ptCount val="6"/>
                <c:pt idx="0">
                  <c:v>217009</c:v>
                </c:pt>
                <c:pt idx="1">
                  <c:v>300304</c:v>
                </c:pt>
                <c:pt idx="2">
                  <c:v>61778</c:v>
                </c:pt>
                <c:pt idx="3">
                  <c:v>41404</c:v>
                </c:pt>
                <c:pt idx="4">
                  <c:v>62764</c:v>
                </c:pt>
                <c:pt idx="5">
                  <c:v>385658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E8-4AF2-8647-C3E2EF24B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0DD-46E7-8D32-930CC467FFB5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D-46E7-8D32-930CC467FFB5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0DD-46E7-8D32-930CC467FFB5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D-46E7-8D32-930CC467FFB5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0DD-46E7-8D32-930CC467FFB5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0DD-46E7-8D32-930CC467FFB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차트_기업생멸_시도별!$D$64:$D$69</c:f>
              <c:numCache>
                <c:formatCode>#,##0</c:formatCode>
                <c:ptCount val="6"/>
                <c:pt idx="0">
                  <c:v>200029</c:v>
                </c:pt>
                <c:pt idx="1">
                  <c:v>302738</c:v>
                </c:pt>
                <c:pt idx="2">
                  <c:v>58947</c:v>
                </c:pt>
                <c:pt idx="3">
                  <c:v>39261</c:v>
                </c:pt>
                <c:pt idx="4">
                  <c:v>62536</c:v>
                </c:pt>
                <c:pt idx="5">
                  <c:v>370247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DD-46E7-8D32-930CC467F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D01-4685-BF28-094AAE585024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01-4685-BF28-094AAE585024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D01-4685-BF28-094AAE585024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01-4685-BF28-094AAE585024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D01-4685-BF28-094AAE585024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01-4685-BF28-094AAE58502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차트_기업생멸_시도별!$E$64:$E$69</c:f>
              <c:numCache>
                <c:formatCode>#,##0</c:formatCode>
                <c:ptCount val="6"/>
                <c:pt idx="0">
                  <c:v>195073</c:v>
                </c:pt>
                <c:pt idx="1">
                  <c:v>289590</c:v>
                </c:pt>
                <c:pt idx="2">
                  <c:v>57279</c:v>
                </c:pt>
                <c:pt idx="3">
                  <c:v>36653</c:v>
                </c:pt>
                <c:pt idx="4">
                  <c:v>62173</c:v>
                </c:pt>
                <c:pt idx="5">
                  <c:v>356703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01-4685-BF28-094AAE585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C52-4776-9663-204139BA7D3F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52-4776-9663-204139BA7D3F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C52-4776-9663-204139BA7D3F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52-4776-9663-204139BA7D3F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C52-4776-9663-204139BA7D3F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52-4776-9663-204139BA7D3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차트_기업생멸_시도별!$F$64:$F$69</c:f>
              <c:numCache>
                <c:formatCode>#,##0</c:formatCode>
                <c:ptCount val="6"/>
                <c:pt idx="0">
                  <c:v>182462</c:v>
                </c:pt>
                <c:pt idx="1">
                  <c:v>284254</c:v>
                </c:pt>
                <c:pt idx="2">
                  <c:v>53074</c:v>
                </c:pt>
                <c:pt idx="3">
                  <c:v>36845</c:v>
                </c:pt>
                <c:pt idx="4">
                  <c:v>60804</c:v>
                </c:pt>
                <c:pt idx="5">
                  <c:v>338502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52-4776-9663-204139BA7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BCE-4252-97FA-3B04521A4300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CE-4252-97FA-3B04521A4300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CE-4252-97FA-3B04521A4300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CE-4252-97FA-3B04521A4300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CE-4252-97FA-3B04521A4300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CE-4252-97FA-3B04521A430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차트_기업생멸_시도별!$G$64:$G$69</c:f>
              <c:numCache>
                <c:formatCode>#,##0</c:formatCode>
                <c:ptCount val="6"/>
                <c:pt idx="0">
                  <c:v>170586</c:v>
                </c:pt>
                <c:pt idx="1">
                  <c:v>276371</c:v>
                </c:pt>
                <c:pt idx="2">
                  <c:v>49531</c:v>
                </c:pt>
                <c:pt idx="3">
                  <c:v>34899</c:v>
                </c:pt>
                <c:pt idx="4">
                  <c:v>57731</c:v>
                </c:pt>
                <c:pt idx="5">
                  <c:v>333295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CE-4252-97FA-3B04521A4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신생기업 시도별 </a:t>
            </a:r>
            <a:r>
              <a:rPr lang="en-US"/>
              <a:t>2025(</a:t>
            </a:r>
            <a:r>
              <a:rPr lang="ko-KR"/>
              <a:t>잠정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2025(잠정)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902-4247-97C5-D42CEC90DEFA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02-4247-97C5-D42CEC90DEFA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902-4247-97C5-D42CEC90DEFA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02-4247-97C5-D42CEC90DEFA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902-4247-97C5-D42CEC90DEFA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02-4247-97C5-D42CEC90DEFA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차트_기업생멸_시도별!$A$64:$A$69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차트_기업생멸_시도별!$H$64:$H$69</c:f>
              <c:numCache>
                <c:formatCode>#,##0</c:formatCode>
                <c:ptCount val="6"/>
                <c:pt idx="0">
                  <c:v>171459</c:v>
                </c:pt>
                <c:pt idx="1">
                  <c:v>271855</c:v>
                </c:pt>
                <c:pt idx="2">
                  <c:v>49921</c:v>
                </c:pt>
                <c:pt idx="3">
                  <c:v>34873</c:v>
                </c:pt>
                <c:pt idx="4">
                  <c:v>57199</c:v>
                </c:pt>
                <c:pt idx="5">
                  <c:v>323161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02-4247-97C5-D42CEC90D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9F-4BD9-B236-DEE25B13DCC0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49F-4BD9-B236-DEE25B13DCC0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9F-4BD9-B236-DEE25B13DCC0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49F-4BD9-B236-DEE25B13DCC0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9F-4BD9-B236-DEE25B13DCC0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49F-4BD9-B236-DEE25B13DCC0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9F-4BD9-B236-DEE25B13DCC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'차트_사업체_산업별(2020~24)'!$B$3:$B$9</c:f>
              <c:numCache>
                <c:formatCode>#,##0</c:formatCode>
                <c:ptCount val="7"/>
                <c:pt idx="0">
                  <c:v>77644</c:v>
                </c:pt>
                <c:pt idx="1">
                  <c:v>38760</c:v>
                </c:pt>
                <c:pt idx="2">
                  <c:v>29382</c:v>
                </c:pt>
                <c:pt idx="3">
                  <c:v>33258</c:v>
                </c:pt>
                <c:pt idx="4">
                  <c:v>24129</c:v>
                </c:pt>
                <c:pt idx="5">
                  <c:v>19397</c:v>
                </c:pt>
                <c:pt idx="6">
                  <c:v>60463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9F-4BD9-B236-DEE25B13D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4A-471B-8E3F-1EB150A75E99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E4A-471B-8E3F-1EB150A75E99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4A-471B-8E3F-1EB150A75E99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E4A-471B-8E3F-1EB150A75E99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4A-471B-8E3F-1EB150A75E99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E4A-471B-8E3F-1EB150A75E99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4A-471B-8E3F-1EB150A75E9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'차트_사업체_산업별(2020~24)'!$C$3:$C$9</c:f>
              <c:numCache>
                <c:formatCode>#,##0</c:formatCode>
                <c:ptCount val="7"/>
                <c:pt idx="0">
                  <c:v>74078</c:v>
                </c:pt>
                <c:pt idx="1">
                  <c:v>38117</c:v>
                </c:pt>
                <c:pt idx="2">
                  <c:v>31075</c:v>
                </c:pt>
                <c:pt idx="3">
                  <c:v>32690</c:v>
                </c:pt>
                <c:pt idx="4">
                  <c:v>23627</c:v>
                </c:pt>
                <c:pt idx="5">
                  <c:v>19393</c:v>
                </c:pt>
                <c:pt idx="6">
                  <c:v>60818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4A-471B-8E3F-1EB150A75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AD-48C4-9524-BEF4EFFACC0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BAD-48C4-9524-BEF4EFFACC0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AD-48C4-9524-BEF4EFFACC0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AD-48C4-9524-BEF4EFFACC0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AD-48C4-9524-BEF4EFFACC0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AD-48C4-9524-BEF4EFFACC08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AD-48C4-9524-BEF4EFFACC0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'차트_사업체_산업별(2020~24)'!$D$3:$D$9</c:f>
              <c:numCache>
                <c:formatCode>#,##0</c:formatCode>
                <c:ptCount val="7"/>
                <c:pt idx="0">
                  <c:v>72840</c:v>
                </c:pt>
                <c:pt idx="1">
                  <c:v>37517</c:v>
                </c:pt>
                <c:pt idx="2">
                  <c:v>31605</c:v>
                </c:pt>
                <c:pt idx="3">
                  <c:v>32445</c:v>
                </c:pt>
                <c:pt idx="4">
                  <c:v>23949</c:v>
                </c:pt>
                <c:pt idx="5">
                  <c:v>19535</c:v>
                </c:pt>
                <c:pt idx="6">
                  <c:v>61332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AD-48C4-9524-BEF4EFFA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65-4B0E-BE81-926BC5AE27A3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265-4B0E-BE81-926BC5AE27A3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65-4B0E-BE81-926BC5AE27A3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265-4B0E-BE81-926BC5AE27A3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65-4B0E-BE81-926BC5AE27A3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265-4B0E-BE81-926BC5AE27A3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65-4B0E-BE81-926BC5AE27A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'차트_사업체_산업별(2020~24)'!$E$3:$E$9</c:f>
              <c:numCache>
                <c:formatCode>#,##0</c:formatCode>
                <c:ptCount val="7"/>
                <c:pt idx="0">
                  <c:v>75135</c:v>
                </c:pt>
                <c:pt idx="1">
                  <c:v>37976</c:v>
                </c:pt>
                <c:pt idx="2">
                  <c:v>34118</c:v>
                </c:pt>
                <c:pt idx="3">
                  <c:v>30025</c:v>
                </c:pt>
                <c:pt idx="4">
                  <c:v>24959</c:v>
                </c:pt>
                <c:pt idx="5">
                  <c:v>20206</c:v>
                </c:pt>
                <c:pt idx="6">
                  <c:v>62969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65-4B0E-BE81-926BC5AE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0F-4E14-A292-AF7549E010D6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F0F-4E14-A292-AF7549E010D6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0F-4E14-A292-AF7549E010D6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F0F-4E14-A292-AF7549E010D6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0F-4E14-A292-AF7549E010D6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F0F-4E14-A292-AF7549E010D6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F0F-4E14-A292-AF7549E010D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'차트_사업체_산업별(2020~24)'!$F$3:$F$9</c:f>
              <c:numCache>
                <c:formatCode>#,##0</c:formatCode>
                <c:ptCount val="7"/>
                <c:pt idx="0">
                  <c:v>76045</c:v>
                </c:pt>
                <c:pt idx="1">
                  <c:v>37729</c:v>
                </c:pt>
                <c:pt idx="2">
                  <c:v>33457</c:v>
                </c:pt>
                <c:pt idx="3">
                  <c:v>28408</c:v>
                </c:pt>
                <c:pt idx="4">
                  <c:v>26072</c:v>
                </c:pt>
                <c:pt idx="5">
                  <c:v>20418</c:v>
                </c:pt>
                <c:pt idx="6">
                  <c:v>64712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0F-4E14-A292-AF7549E01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D8B-42C4-BB91-DB2396BF7870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8B-42C4-BB91-DB2396BF7870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D8B-42C4-BB91-DB2396BF7870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8B-42C4-BB91-DB2396BF7870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D8B-42C4-BB91-DB2396BF7870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8B-42C4-BB91-DB2396BF7870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D8B-42C4-BB91-DB2396BF787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'차트_사업체_산업별(2020~24)'!$A$49:$A$55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'차트_사업체_산업별(2020~24)'!$B$49:$B$55</c:f>
              <c:numCache>
                <c:formatCode>#,##0</c:formatCode>
                <c:ptCount val="7"/>
                <c:pt idx="0">
                  <c:v>161985</c:v>
                </c:pt>
                <c:pt idx="1">
                  <c:v>88027</c:v>
                </c:pt>
                <c:pt idx="2">
                  <c:v>55003</c:v>
                </c:pt>
                <c:pt idx="3">
                  <c:v>173382</c:v>
                </c:pt>
                <c:pt idx="4">
                  <c:v>42518</c:v>
                </c:pt>
                <c:pt idx="5">
                  <c:v>87039</c:v>
                </c:pt>
                <c:pt idx="6">
                  <c:v>402603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8B-42C4-BB91-DB2396BF7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929-45B5-8A7B-BFBCCCA2769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9-45B5-8A7B-BFBCCCA2769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929-45B5-8A7B-BFBCCCA2769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9-45B5-8A7B-BFBCCCA2769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929-45B5-8A7B-BFBCCCA2769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9-45B5-8A7B-BFBCCCA27698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929-45B5-8A7B-BFBCCCA2769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'차트_사업체_산업별(2020~24)'!$A$49:$A$55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'차트_사업체_산업별(2020~24)'!$C$49:$C$55</c:f>
              <c:numCache>
                <c:formatCode>#,##0</c:formatCode>
                <c:ptCount val="7"/>
                <c:pt idx="0">
                  <c:v>159185</c:v>
                </c:pt>
                <c:pt idx="1">
                  <c:v>88808</c:v>
                </c:pt>
                <c:pt idx="2">
                  <c:v>56222</c:v>
                </c:pt>
                <c:pt idx="3">
                  <c:v>169828</c:v>
                </c:pt>
                <c:pt idx="4">
                  <c:v>41372</c:v>
                </c:pt>
                <c:pt idx="5">
                  <c:v>75353</c:v>
                </c:pt>
                <c:pt idx="6">
                  <c:v>413795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29-45B5-8A7B-BFBCCCA2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64A-4B35-8302-868037D811BB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4A-4B35-8302-868037D811BB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64A-4B35-8302-868037D811BB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4A-4B35-8302-868037D811BB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64A-4B35-8302-868037D811BB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4A-4B35-8302-868037D811BB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64A-4B35-8302-868037D811B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'차트_사업체_산업별(2020~24)'!$A$49:$A$55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'차트_사업체_산업별(2020~24)'!$D$49:$D$55</c:f>
              <c:numCache>
                <c:formatCode>#,##0</c:formatCode>
                <c:ptCount val="7"/>
                <c:pt idx="0">
                  <c:v>155393</c:v>
                </c:pt>
                <c:pt idx="1">
                  <c:v>92541</c:v>
                </c:pt>
                <c:pt idx="2">
                  <c:v>56927</c:v>
                </c:pt>
                <c:pt idx="3">
                  <c:v>169297</c:v>
                </c:pt>
                <c:pt idx="4">
                  <c:v>41002</c:v>
                </c:pt>
                <c:pt idx="5">
                  <c:v>75231</c:v>
                </c:pt>
                <c:pt idx="6">
                  <c:v>424596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4A-4B35-8302-868037D8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8E7-40AD-BF5A-F81932C12F75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E7-40AD-BF5A-F81932C12F75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8E7-40AD-BF5A-F81932C12F75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E7-40AD-BF5A-F81932C12F75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8E7-40AD-BF5A-F81932C12F75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E7-40AD-BF5A-F81932C12F75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8E7-40AD-BF5A-F81932C12F7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'차트_사업체_산업별(2020~24)'!$A$49:$A$55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'차트_사업체_산업별(2020~24)'!$E$49:$E$55</c:f>
              <c:numCache>
                <c:formatCode>#,##0</c:formatCode>
                <c:ptCount val="7"/>
                <c:pt idx="0">
                  <c:v>155834</c:v>
                </c:pt>
                <c:pt idx="1">
                  <c:v>97701</c:v>
                </c:pt>
                <c:pt idx="2">
                  <c:v>59657</c:v>
                </c:pt>
                <c:pt idx="3">
                  <c:v>164964</c:v>
                </c:pt>
                <c:pt idx="4">
                  <c:v>41550</c:v>
                </c:pt>
                <c:pt idx="5">
                  <c:v>73138</c:v>
                </c:pt>
                <c:pt idx="6">
                  <c:v>435941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E7-40AD-BF5A-F81932C12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C88-45EC-9E04-1E9DCFFBD176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88-45EC-9E04-1E9DCFFBD176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C88-45EC-9E04-1E9DCFFBD176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88-45EC-9E04-1E9DCFFBD176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C88-45EC-9E04-1E9DCFFBD176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88-45EC-9E04-1E9DCFFBD176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C88-45EC-9E04-1E9DCFFBD17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'차트_사업체_산업별(2020~24)'!$A$49:$A$55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운수 및 창고업</c:v>
                </c:pt>
                <c:pt idx="3">
                  <c:v>제조업</c:v>
                </c:pt>
                <c:pt idx="4">
                  <c:v>협회 및 단체 수리 및 기타 개인 서비스업</c:v>
                </c:pt>
                <c:pt idx="5">
                  <c:v>건설업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'차트_사업체_산업별(2020~24)'!$F$49:$F$55</c:f>
              <c:numCache>
                <c:formatCode>#,##0</c:formatCode>
                <c:ptCount val="7"/>
                <c:pt idx="0">
                  <c:v>152493</c:v>
                </c:pt>
                <c:pt idx="1">
                  <c:v>94265</c:v>
                </c:pt>
                <c:pt idx="2">
                  <c:v>59297</c:v>
                </c:pt>
                <c:pt idx="3">
                  <c:v>159551</c:v>
                </c:pt>
                <c:pt idx="4">
                  <c:v>42476</c:v>
                </c:pt>
                <c:pt idx="5">
                  <c:v>70905</c:v>
                </c:pt>
                <c:pt idx="6">
                  <c:v>442259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88-45EC-9E04-1E9DCFFBD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2019 (</a:t>
            </a:r>
            <a:r>
              <a:rPr lang="ko-KR"/>
              <a:t>구기준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1FD-42B5-9132-3E63EDFEEDF9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FD-42B5-9132-3E63EDFEEDF9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1FD-42B5-9132-3E63EDFEEDF9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FD-42B5-9132-3E63EDFEEDF9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1FD-42B5-9132-3E63EDFEEDF9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1FD-42B5-9132-3E63EDFEEDF9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1FD-42B5-9132-3E63EDFEEDF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'차트_사업체_산업별(2019~20구)'!$A$3:$A$9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제조업</c:v>
                </c:pt>
                <c:pt idx="3">
                  <c:v>협회 및 단체 수리 및 기타 개인 서비스업</c:v>
                </c:pt>
                <c:pt idx="4">
                  <c:v>운수 및 창고업</c:v>
                </c:pt>
                <c:pt idx="5">
                  <c:v>교육 서비스업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'차트_사업체_산업별(2019~20구)'!$B$3:$B$9</c:f>
              <c:numCache>
                <c:formatCode>#,##0</c:formatCode>
                <c:ptCount val="7"/>
                <c:pt idx="0">
                  <c:v>54735</c:v>
                </c:pt>
                <c:pt idx="1">
                  <c:v>35707</c:v>
                </c:pt>
                <c:pt idx="2">
                  <c:v>26600</c:v>
                </c:pt>
                <c:pt idx="3">
                  <c:v>21599</c:v>
                </c:pt>
                <c:pt idx="4">
                  <c:v>21059</c:v>
                </c:pt>
                <c:pt idx="5">
                  <c:v>11090</c:v>
                </c:pt>
                <c:pt idx="6">
                  <c:v>40154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FD-42B5-9132-3E63EDFE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사업체수 </a:t>
            </a:r>
            <a:r>
              <a:rPr lang="en-US"/>
              <a:t>2020 (</a:t>
            </a:r>
            <a:r>
              <a:rPr lang="ko-KR"/>
              <a:t>구기준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4E-45CA-9686-00AA42AE1AAE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4E-45CA-9686-00AA42AE1AAE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4E-45CA-9686-00AA42AE1AAE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4E-45CA-9686-00AA42AE1AAE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4E-45CA-9686-00AA42AE1AAE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4E-45CA-9686-00AA42AE1AAE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4E-45CA-9686-00AA42AE1AA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'차트_사업체_산업별(2019~20구)'!$A$3:$A$9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제조업</c:v>
                </c:pt>
                <c:pt idx="3">
                  <c:v>협회 및 단체 수리 및 기타 개인 서비스업</c:v>
                </c:pt>
                <c:pt idx="4">
                  <c:v>운수 및 창고업</c:v>
                </c:pt>
                <c:pt idx="5">
                  <c:v>교육 서비스업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'차트_사업체_산업별(2019~20구)'!$C$3:$C$9</c:f>
              <c:numCache>
                <c:formatCode>#,##0</c:formatCode>
                <c:ptCount val="7"/>
                <c:pt idx="0">
                  <c:v>55527</c:v>
                </c:pt>
                <c:pt idx="1">
                  <c:v>37259</c:v>
                </c:pt>
                <c:pt idx="2">
                  <c:v>27088</c:v>
                </c:pt>
                <c:pt idx="3">
                  <c:v>21814</c:v>
                </c:pt>
                <c:pt idx="4">
                  <c:v>21090</c:v>
                </c:pt>
                <c:pt idx="5">
                  <c:v>10885</c:v>
                </c:pt>
                <c:pt idx="6">
                  <c:v>41246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4E-45CA-9686-00AA42AE1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2019 (</a:t>
            </a:r>
            <a:r>
              <a:rPr lang="ko-KR"/>
              <a:t>구기준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60-400C-8E06-CCE8081B4A2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660-400C-8E06-CCE8081B4A2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60-400C-8E06-CCE8081B4A2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660-400C-8E06-CCE8081B4A2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60-400C-8E06-CCE8081B4A2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660-400C-8E06-CCE8081B4A28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60-400C-8E06-CCE8081B4A2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'차트_사업체_산업별(2019~20구)'!$A$32:$A$38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제조업</c:v>
                </c:pt>
                <c:pt idx="3">
                  <c:v>협회 및 단체 수리 및 기타 개인 서비스업</c:v>
                </c:pt>
                <c:pt idx="4">
                  <c:v>운수 및 창고업</c:v>
                </c:pt>
                <c:pt idx="5">
                  <c:v>교육 서비스업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'차트_사업체_산업별(2019~20구)'!$B$32:$B$38</c:f>
              <c:numCache>
                <c:formatCode>#,##0</c:formatCode>
                <c:ptCount val="7"/>
                <c:pt idx="0">
                  <c:v>154973</c:v>
                </c:pt>
                <c:pt idx="1">
                  <c:v>101892</c:v>
                </c:pt>
                <c:pt idx="2">
                  <c:v>174311</c:v>
                </c:pt>
                <c:pt idx="3">
                  <c:v>43196</c:v>
                </c:pt>
                <c:pt idx="4">
                  <c:v>47975</c:v>
                </c:pt>
                <c:pt idx="5">
                  <c:v>81327</c:v>
                </c:pt>
                <c:pt idx="6">
                  <c:v>364260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60-400C-8E06-CCE8081B4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대구 종사자수 </a:t>
            </a:r>
            <a:r>
              <a:rPr lang="en-US"/>
              <a:t>2020 (</a:t>
            </a:r>
            <a:r>
              <a:rPr lang="ko-KR"/>
              <a:t>구기준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16-4D0D-B84E-71D1C080BEE7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116-4D0D-B84E-71D1C080BEE7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16-4D0D-B84E-71D1C080BEE7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116-4D0D-B84E-71D1C080BEE7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16-4D0D-B84E-71D1C080BEE7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116-4D0D-B84E-71D1C080BEE7}"/>
              </c:ext>
            </c:extLst>
          </c:dPt>
          <c:dPt>
            <c:idx val="6"/>
            <c:bubble3D val="0"/>
            <c:spPr>
              <a:solidFill>
                <a:srgbClr val="BAB0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16-4D0D-B84E-71D1C080BEE7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'차트_사업체_산업별(2019~20구)'!$A$32:$A$38</c:f>
              <c:strCache>
                <c:ptCount val="7"/>
                <c:pt idx="0">
                  <c:v>도매 및 소매업</c:v>
                </c:pt>
                <c:pt idx="1">
                  <c:v>숙박 및 음식점업</c:v>
                </c:pt>
                <c:pt idx="2">
                  <c:v>제조업</c:v>
                </c:pt>
                <c:pt idx="3">
                  <c:v>협회 및 단체 수리 및 기타 개인 서비스업</c:v>
                </c:pt>
                <c:pt idx="4">
                  <c:v>운수 및 창고업</c:v>
                </c:pt>
                <c:pt idx="5">
                  <c:v>교육 서비스업</c:v>
                </c:pt>
                <c:pt idx="6">
                  <c:v>기타</c:v>
                </c:pt>
              </c:strCache>
            </c:strRef>
          </c:cat>
          <c:val>
            <c:numRef>
              <c:f>'차트_사업체_산업별(2019~20구)'!$C$32:$C$38</c:f>
              <c:numCache>
                <c:formatCode>#,##0</c:formatCode>
                <c:ptCount val="7"/>
                <c:pt idx="0">
                  <c:v>132909</c:v>
                </c:pt>
                <c:pt idx="1">
                  <c:v>85600</c:v>
                </c:pt>
                <c:pt idx="2">
                  <c:v>161744</c:v>
                </c:pt>
                <c:pt idx="3">
                  <c:v>39034</c:v>
                </c:pt>
                <c:pt idx="4">
                  <c:v>43979</c:v>
                </c:pt>
                <c:pt idx="5">
                  <c:v>76589</c:v>
                </c:pt>
                <c:pt idx="6">
                  <c:v>353735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16-4D0D-B84E-71D1C080B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2019 (</a:t>
            </a:r>
            <a:r>
              <a:rPr lang="ko-KR"/>
              <a:t>구기준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2019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2DD-4C41-9AC6-5CAD208751B2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DD-4C41-9AC6-5CAD208751B2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2DD-4C41-9AC6-5CAD208751B2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DD-4C41-9AC6-5CAD208751B2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2DD-4C41-9AC6-5CAD208751B2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DD-4C41-9AC6-5CAD208751B2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차트_사업체_시도별!$B$3:$B$8</c:f>
              <c:numCache>
                <c:formatCode>#,##0</c:formatCode>
                <c:ptCount val="6"/>
                <c:pt idx="0">
                  <c:v>823624</c:v>
                </c:pt>
                <c:pt idx="1">
                  <c:v>934349</c:v>
                </c:pt>
                <c:pt idx="2">
                  <c:v>290357</c:v>
                </c:pt>
                <c:pt idx="3">
                  <c:v>210944</c:v>
                </c:pt>
                <c:pt idx="4">
                  <c:v>206244</c:v>
                </c:pt>
                <c:pt idx="5">
                  <c:v>1711031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DD-4C41-9AC6-5CAD20875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2020 (</a:t>
            </a:r>
            <a:r>
              <a:rPr lang="ko-KR"/>
              <a:t>구기준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7F-4857-BB2A-C2DCD1D55235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7F-4857-BB2A-C2DCD1D55235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77F-4857-BB2A-C2DCD1D55235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7F-4857-BB2A-C2DCD1D55235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77F-4857-BB2A-C2DCD1D55235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7F-4857-BB2A-C2DCD1D5523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차트_사업체_시도별!$A$3:$A$8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차트_사업체_시도별!$C$3:$C$8</c:f>
              <c:numCache>
                <c:formatCode>#,##0</c:formatCode>
                <c:ptCount val="6"/>
                <c:pt idx="0">
                  <c:v>848552</c:v>
                </c:pt>
                <c:pt idx="1">
                  <c:v>989105</c:v>
                </c:pt>
                <c:pt idx="2">
                  <c:v>298386</c:v>
                </c:pt>
                <c:pt idx="3">
                  <c:v>214909</c:v>
                </c:pt>
                <c:pt idx="4">
                  <c:v>216249</c:v>
                </c:pt>
                <c:pt idx="5">
                  <c:v>1757994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F-4857-BB2A-C2DCD1D55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2020 (</a:t>
            </a:r>
            <a:r>
              <a:rPr lang="ko-KR"/>
              <a:t>신기준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2020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9F-4DD9-8C27-CDED36B9A28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9F-4DD9-8C27-CDED36B9A28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9F-4DD9-8C27-CDED36B9A28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D9F-4DD9-8C27-CDED36B9A28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9F-4DD9-8C27-CDED36B9A28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D9F-4DD9-8C27-CDED36B9A28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차트_사업체_시도별!$A$31:$A$36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차트_사업체_시도별!$B$31:$B$36</c:f>
              <c:numCache>
                <c:formatCode>#,##0</c:formatCode>
                <c:ptCount val="6"/>
                <c:pt idx="0">
                  <c:v>1211053</c:v>
                </c:pt>
                <c:pt idx="1">
                  <c:v>1455644</c:v>
                </c:pt>
                <c:pt idx="2">
                  <c:v>402003</c:v>
                </c:pt>
                <c:pt idx="3">
                  <c:v>283033</c:v>
                </c:pt>
                <c:pt idx="4">
                  <c:v>306108</c:v>
                </c:pt>
                <c:pt idx="5">
                  <c:v>2374181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F-4DD9-8C27-CDED36B9A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2021 (</a:t>
            </a:r>
            <a:r>
              <a:rPr lang="ko-KR"/>
              <a:t>신기준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2021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77-401A-A083-12E89486A2D9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277-401A-A083-12E89486A2D9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77-401A-A083-12E89486A2D9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277-401A-A083-12E89486A2D9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77-401A-A083-12E89486A2D9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277-401A-A083-12E89486A2D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차트_사업체_시도별!$A$31:$A$36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차트_사업체_시도별!$C$31:$C$36</c:f>
              <c:numCache>
                <c:formatCode>#,##0</c:formatCode>
                <c:ptCount val="6"/>
                <c:pt idx="0">
                  <c:v>1188091</c:v>
                </c:pt>
                <c:pt idx="1">
                  <c:v>1481054</c:v>
                </c:pt>
                <c:pt idx="2">
                  <c:v>401254</c:v>
                </c:pt>
                <c:pt idx="3">
                  <c:v>279798</c:v>
                </c:pt>
                <c:pt idx="4">
                  <c:v>308892</c:v>
                </c:pt>
                <c:pt idx="5">
                  <c:v>2420613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7-401A-A083-12E89486A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2022 (</a:t>
            </a:r>
            <a:r>
              <a:rPr lang="ko-KR"/>
              <a:t>신기준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0-4353-9E0D-07AB77578778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3E0-4353-9E0D-07AB77578778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E0-4353-9E0D-07AB77578778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3E0-4353-9E0D-07AB77578778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E0-4353-9E0D-07AB77578778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3E0-4353-9E0D-07AB7757877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차트_사업체_시도별!$A$31:$A$36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차트_사업체_시도별!$D$31:$D$36</c:f>
              <c:numCache>
                <c:formatCode>#,##0</c:formatCode>
                <c:ptCount val="6"/>
                <c:pt idx="0">
                  <c:v>1180025</c:v>
                </c:pt>
                <c:pt idx="1">
                  <c:v>1514951</c:v>
                </c:pt>
                <c:pt idx="2">
                  <c:v>400565</c:v>
                </c:pt>
                <c:pt idx="3">
                  <c:v>279223</c:v>
                </c:pt>
                <c:pt idx="4">
                  <c:v>317133</c:v>
                </c:pt>
                <c:pt idx="5">
                  <c:v>2448002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0-4353-9E0D-07AB77578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2023 (</a:t>
            </a:r>
            <a:r>
              <a:rPr lang="ko-KR"/>
              <a:t>신기준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2023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30-4BC0-AE62-3A43FC26FB64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B30-4BC0-AE62-3A43FC26FB64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30-4BC0-AE62-3A43FC26FB64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B30-4BC0-AE62-3A43FC26FB64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30-4BC0-AE62-3A43FC26FB64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B30-4BC0-AE62-3A43FC26FB6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차트_사업체_시도별!$A$31:$A$36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차트_사업체_시도별!$E$31:$E$36</c:f>
              <c:numCache>
                <c:formatCode>#,##0</c:formatCode>
                <c:ptCount val="6"/>
                <c:pt idx="0">
                  <c:v>1177287</c:v>
                </c:pt>
                <c:pt idx="1">
                  <c:v>1562116</c:v>
                </c:pt>
                <c:pt idx="2">
                  <c:v>401008</c:v>
                </c:pt>
                <c:pt idx="3">
                  <c:v>285388</c:v>
                </c:pt>
                <c:pt idx="4">
                  <c:v>322297</c:v>
                </c:pt>
                <c:pt idx="5">
                  <c:v>2498393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0-4BC0-AE62-3A43FC26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전국 사업체수 시도별 </a:t>
            </a:r>
            <a:r>
              <a:rPr lang="en-US"/>
              <a:t>2024 (</a:t>
            </a:r>
            <a:r>
              <a:rPr lang="ko-KR"/>
              <a:t>신기준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2024</c:v>
          </c:tx>
          <c:dPt>
            <c:idx val="0"/>
            <c:bubble3D val="0"/>
            <c:spPr>
              <a:solidFill>
                <a:srgbClr val="4E79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7-4657-B572-8C25212A0D13}"/>
              </c:ext>
            </c:extLst>
          </c:dPt>
          <c:dPt>
            <c:idx val="1"/>
            <c:bubble3D val="0"/>
            <c:spPr>
              <a:solidFill>
                <a:srgbClr val="F28E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7A7-4657-B572-8C25212A0D13}"/>
              </c:ext>
            </c:extLst>
          </c:dPt>
          <c:dPt>
            <c:idx val="2"/>
            <c:bubble3D val="0"/>
            <c:spPr>
              <a:solidFill>
                <a:srgbClr val="59A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A7-4657-B572-8C25212A0D13}"/>
              </c:ext>
            </c:extLst>
          </c:dPt>
          <c:dPt>
            <c:idx val="3"/>
            <c:bubble3D val="0"/>
            <c:spPr>
              <a:solidFill>
                <a:srgbClr val="B07A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7A7-4657-B572-8C25212A0D13}"/>
              </c:ext>
            </c:extLst>
          </c:dPt>
          <c:dPt>
            <c:idx val="4"/>
            <c:bubble3D val="0"/>
            <c:spPr>
              <a:solidFill>
                <a:srgbClr val="EDC9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A7-4657-B572-8C25212A0D13}"/>
              </c:ext>
            </c:extLst>
          </c:dPt>
          <c:dPt>
            <c:idx val="5"/>
            <c:bubble3D val="0"/>
            <c:spPr>
              <a:solidFill>
                <a:srgbClr val="76B7B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7A7-4657-B572-8C25212A0D1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차트_사업체_시도별!$A$31:$A$36</c:f>
              <c:strCache>
                <c:ptCount val="6"/>
                <c:pt idx="0">
                  <c:v>서울</c:v>
                </c:pt>
                <c:pt idx="1">
                  <c:v>경기</c:v>
                </c:pt>
                <c:pt idx="2">
                  <c:v>부산</c:v>
                </c:pt>
                <c:pt idx="3">
                  <c:v>대구</c:v>
                </c:pt>
                <c:pt idx="4">
                  <c:v>인천</c:v>
                </c:pt>
                <c:pt idx="5">
                  <c:v>기타</c:v>
                </c:pt>
              </c:strCache>
            </c:strRef>
          </c:cat>
          <c:val>
            <c:numRef>
              <c:f>차트_사업체_시도별!$F$31:$F$36</c:f>
              <c:numCache>
                <c:formatCode>#,##0</c:formatCode>
                <c:ptCount val="6"/>
                <c:pt idx="0">
                  <c:v>1176066</c:v>
                </c:pt>
                <c:pt idx="1">
                  <c:v>1604724</c:v>
                </c:pt>
                <c:pt idx="2">
                  <c:v>402419</c:v>
                </c:pt>
                <c:pt idx="3">
                  <c:v>286841</c:v>
                </c:pt>
                <c:pt idx="4">
                  <c:v>328929</c:v>
                </c:pt>
                <c:pt idx="5">
                  <c:v>2564283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7-4657-B572-8C25212A0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4" Type="http://schemas.openxmlformats.org/officeDocument/2006/relationships/chart" Target="../charts/chart4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11</xdr:row>
      <xdr:rowOff>0</xdr:rowOff>
    </xdr:from>
    <xdr:to>
      <xdr:col>3</xdr:col>
      <xdr:colOff>428625</xdr:colOff>
      <xdr:row>27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9E8D5D0-5C7D-456F-A8CC-C9E71E681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555625</xdr:colOff>
      <xdr:row>11</xdr:row>
      <xdr:rowOff>0</xdr:rowOff>
    </xdr:from>
    <xdr:to>
      <xdr:col>7</xdr:col>
      <xdr:colOff>657225</xdr:colOff>
      <xdr:row>27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2A413EB-2624-481E-B4BE-238F9E1C0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784225</xdr:colOff>
      <xdr:row>11</xdr:row>
      <xdr:rowOff>0</xdr:rowOff>
    </xdr:from>
    <xdr:to>
      <xdr:col>13</xdr:col>
      <xdr:colOff>571500</xdr:colOff>
      <xdr:row>27</xdr:row>
      <xdr:rowOff>12700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0D08C7A-E28F-423F-BC55-7FBAF5406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27</xdr:row>
      <xdr:rowOff>139700</xdr:rowOff>
    </xdr:from>
    <xdr:to>
      <xdr:col>3</xdr:col>
      <xdr:colOff>428625</xdr:colOff>
      <xdr:row>43</xdr:row>
      <xdr:rowOff>152400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CA73AC5-A52C-4B41-958E-0ACA853A6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555625</xdr:colOff>
      <xdr:row>27</xdr:row>
      <xdr:rowOff>139700</xdr:rowOff>
    </xdr:from>
    <xdr:to>
      <xdr:col>7</xdr:col>
      <xdr:colOff>657225</xdr:colOff>
      <xdr:row>43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84FC00E-EFE2-4222-A51C-118D12BD2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784225</xdr:colOff>
      <xdr:row>27</xdr:row>
      <xdr:rowOff>139700</xdr:rowOff>
    </xdr:from>
    <xdr:to>
      <xdr:col>13</xdr:col>
      <xdr:colOff>571500</xdr:colOff>
      <xdr:row>43</xdr:row>
      <xdr:rowOff>152400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64488E0-ABDB-4E7D-9732-C4C1B8748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44</xdr:row>
      <xdr:rowOff>69850</xdr:rowOff>
    </xdr:from>
    <xdr:to>
      <xdr:col>3</xdr:col>
      <xdr:colOff>428625</xdr:colOff>
      <xdr:row>60</xdr:row>
      <xdr:rowOff>82550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6E26494-E73F-4D69-893A-0F18F69B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127000</xdr:colOff>
      <xdr:row>73</xdr:row>
      <xdr:rowOff>0</xdr:rowOff>
    </xdr:from>
    <xdr:to>
      <xdr:col>3</xdr:col>
      <xdr:colOff>428625</xdr:colOff>
      <xdr:row>89</xdr:row>
      <xdr:rowOff>12700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2B8E03C-4CA1-4FE1-A271-9C25CFFCF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555625</xdr:colOff>
      <xdr:row>73</xdr:row>
      <xdr:rowOff>0</xdr:rowOff>
    </xdr:from>
    <xdr:to>
      <xdr:col>7</xdr:col>
      <xdr:colOff>657225</xdr:colOff>
      <xdr:row>89</xdr:row>
      <xdr:rowOff>12700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A239EA5-1937-4A9E-B342-8E3BB5025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784225</xdr:colOff>
      <xdr:row>73</xdr:row>
      <xdr:rowOff>0</xdr:rowOff>
    </xdr:from>
    <xdr:to>
      <xdr:col>13</xdr:col>
      <xdr:colOff>571500</xdr:colOff>
      <xdr:row>89</xdr:row>
      <xdr:rowOff>12700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4DC4BB5-624C-425D-8027-09A34537A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127000</xdr:colOff>
      <xdr:row>89</xdr:row>
      <xdr:rowOff>139700</xdr:rowOff>
    </xdr:from>
    <xdr:to>
      <xdr:col>3</xdr:col>
      <xdr:colOff>428625</xdr:colOff>
      <xdr:row>105</xdr:row>
      <xdr:rowOff>152400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5ACB3F5A-EE30-4C56-A8A7-851343AE5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555625</xdr:colOff>
      <xdr:row>89</xdr:row>
      <xdr:rowOff>139700</xdr:rowOff>
    </xdr:from>
    <xdr:to>
      <xdr:col>7</xdr:col>
      <xdr:colOff>657225</xdr:colOff>
      <xdr:row>105</xdr:row>
      <xdr:rowOff>152400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04B474C-B42C-4A9E-A26F-A492E8832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784225</xdr:colOff>
      <xdr:row>89</xdr:row>
      <xdr:rowOff>139700</xdr:rowOff>
    </xdr:from>
    <xdr:to>
      <xdr:col>13</xdr:col>
      <xdr:colOff>571500</xdr:colOff>
      <xdr:row>105</xdr:row>
      <xdr:rowOff>152400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CE89CB9-54F8-4C01-8577-2BD87C0D6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127000</xdr:colOff>
      <xdr:row>106</xdr:row>
      <xdr:rowOff>69850</xdr:rowOff>
    </xdr:from>
    <xdr:to>
      <xdr:col>3</xdr:col>
      <xdr:colOff>428625</xdr:colOff>
      <xdr:row>122</xdr:row>
      <xdr:rowOff>82550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6FFBD012-3EDC-47F9-A6F3-DF84CCDDF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10</xdr:row>
      <xdr:rowOff>0</xdr:rowOff>
    </xdr:from>
    <xdr:to>
      <xdr:col>3</xdr:col>
      <xdr:colOff>428625</xdr:colOff>
      <xdr:row>26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BE12216-CCB3-42D1-B23F-66CD9CC03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555625</xdr:colOff>
      <xdr:row>10</xdr:row>
      <xdr:rowOff>0</xdr:rowOff>
    </xdr:from>
    <xdr:to>
      <xdr:col>7</xdr:col>
      <xdr:colOff>657225</xdr:colOff>
      <xdr:row>26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A0AE779-8CAE-4658-BFED-E4FCADB8D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784225</xdr:colOff>
      <xdr:row>10</xdr:row>
      <xdr:rowOff>0</xdr:rowOff>
    </xdr:from>
    <xdr:to>
      <xdr:col>13</xdr:col>
      <xdr:colOff>571500</xdr:colOff>
      <xdr:row>26</xdr:row>
      <xdr:rowOff>12700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473255C-1DED-4447-9A23-2866F5C8D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26</xdr:row>
      <xdr:rowOff>139700</xdr:rowOff>
    </xdr:from>
    <xdr:to>
      <xdr:col>3</xdr:col>
      <xdr:colOff>428625</xdr:colOff>
      <xdr:row>42</xdr:row>
      <xdr:rowOff>152400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234BE5E-C677-452F-A408-071F5E941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555625</xdr:colOff>
      <xdr:row>26</xdr:row>
      <xdr:rowOff>139700</xdr:rowOff>
    </xdr:from>
    <xdr:to>
      <xdr:col>7</xdr:col>
      <xdr:colOff>657225</xdr:colOff>
      <xdr:row>42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E8F1634-75BD-48DB-BAF0-A7AF9D054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784225</xdr:colOff>
      <xdr:row>26</xdr:row>
      <xdr:rowOff>139700</xdr:rowOff>
    </xdr:from>
    <xdr:to>
      <xdr:col>13</xdr:col>
      <xdr:colOff>571500</xdr:colOff>
      <xdr:row>42</xdr:row>
      <xdr:rowOff>152400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6104CC6-75A2-4EF1-821C-1B9A87BF0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43</xdr:row>
      <xdr:rowOff>69850</xdr:rowOff>
    </xdr:from>
    <xdr:to>
      <xdr:col>3</xdr:col>
      <xdr:colOff>428625</xdr:colOff>
      <xdr:row>59</xdr:row>
      <xdr:rowOff>82550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6EB8F31B-49D1-48C5-87F3-4B7F340A2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127000</xdr:colOff>
      <xdr:row>71</xdr:row>
      <xdr:rowOff>0</xdr:rowOff>
    </xdr:from>
    <xdr:to>
      <xdr:col>3</xdr:col>
      <xdr:colOff>428625</xdr:colOff>
      <xdr:row>87</xdr:row>
      <xdr:rowOff>12700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CCF5D05-934A-4B39-BC4D-19D331E25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555625</xdr:colOff>
      <xdr:row>71</xdr:row>
      <xdr:rowOff>0</xdr:rowOff>
    </xdr:from>
    <xdr:to>
      <xdr:col>7</xdr:col>
      <xdr:colOff>657225</xdr:colOff>
      <xdr:row>87</xdr:row>
      <xdr:rowOff>12700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CE844C8-58AC-4279-BB3D-5689C27E6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784225</xdr:colOff>
      <xdr:row>71</xdr:row>
      <xdr:rowOff>0</xdr:rowOff>
    </xdr:from>
    <xdr:to>
      <xdr:col>13</xdr:col>
      <xdr:colOff>571500</xdr:colOff>
      <xdr:row>87</xdr:row>
      <xdr:rowOff>12700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E09A41CA-C0F4-483E-B35A-E0BC8854B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127000</xdr:colOff>
      <xdr:row>87</xdr:row>
      <xdr:rowOff>139700</xdr:rowOff>
    </xdr:from>
    <xdr:to>
      <xdr:col>3</xdr:col>
      <xdr:colOff>428625</xdr:colOff>
      <xdr:row>103</xdr:row>
      <xdr:rowOff>152400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8D60E5E5-3BB1-4541-BABD-B5744D281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555625</xdr:colOff>
      <xdr:row>87</xdr:row>
      <xdr:rowOff>139700</xdr:rowOff>
    </xdr:from>
    <xdr:to>
      <xdr:col>7</xdr:col>
      <xdr:colOff>657225</xdr:colOff>
      <xdr:row>103</xdr:row>
      <xdr:rowOff>152400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6FD0CD52-CA6C-4BEA-B40E-50EE48591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784225</xdr:colOff>
      <xdr:row>87</xdr:row>
      <xdr:rowOff>139700</xdr:rowOff>
    </xdr:from>
    <xdr:to>
      <xdr:col>13</xdr:col>
      <xdr:colOff>571500</xdr:colOff>
      <xdr:row>103</xdr:row>
      <xdr:rowOff>152400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DC8799B-6DAD-4512-B710-3EF8A4277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127000</xdr:colOff>
      <xdr:row>104</xdr:row>
      <xdr:rowOff>69850</xdr:rowOff>
    </xdr:from>
    <xdr:to>
      <xdr:col>3</xdr:col>
      <xdr:colOff>428625</xdr:colOff>
      <xdr:row>120</xdr:row>
      <xdr:rowOff>82550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EA17B72C-FD4E-425C-BC70-967A9E179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11</xdr:row>
      <xdr:rowOff>0</xdr:rowOff>
    </xdr:from>
    <xdr:to>
      <xdr:col>3</xdr:col>
      <xdr:colOff>428625</xdr:colOff>
      <xdr:row>27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02266E3-1635-4157-BD64-C12D850E6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555625</xdr:colOff>
      <xdr:row>11</xdr:row>
      <xdr:rowOff>0</xdr:rowOff>
    </xdr:from>
    <xdr:to>
      <xdr:col>7</xdr:col>
      <xdr:colOff>657225</xdr:colOff>
      <xdr:row>27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1B4CE59-B66A-4E1B-B477-77086B858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784225</xdr:colOff>
      <xdr:row>11</xdr:row>
      <xdr:rowOff>0</xdr:rowOff>
    </xdr:from>
    <xdr:to>
      <xdr:col>13</xdr:col>
      <xdr:colOff>571500</xdr:colOff>
      <xdr:row>27</xdr:row>
      <xdr:rowOff>12700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E889B91-D5FC-498E-BBBD-C1DEA8F17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27</xdr:row>
      <xdr:rowOff>139700</xdr:rowOff>
    </xdr:from>
    <xdr:to>
      <xdr:col>3</xdr:col>
      <xdr:colOff>428625</xdr:colOff>
      <xdr:row>43</xdr:row>
      <xdr:rowOff>152400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D68ECB-D152-4701-B37D-50B2B4387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555625</xdr:colOff>
      <xdr:row>27</xdr:row>
      <xdr:rowOff>139700</xdr:rowOff>
    </xdr:from>
    <xdr:to>
      <xdr:col>7</xdr:col>
      <xdr:colOff>657225</xdr:colOff>
      <xdr:row>43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74C63A3-5753-43FA-B9DF-19FD7C5FB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127000</xdr:colOff>
      <xdr:row>57</xdr:row>
      <xdr:rowOff>0</xdr:rowOff>
    </xdr:from>
    <xdr:to>
      <xdr:col>3</xdr:col>
      <xdr:colOff>428625</xdr:colOff>
      <xdr:row>73</xdr:row>
      <xdr:rowOff>12700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6EFD150-D481-48E2-A00E-A9D78E6C5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555625</xdr:colOff>
      <xdr:row>57</xdr:row>
      <xdr:rowOff>0</xdr:rowOff>
    </xdr:from>
    <xdr:to>
      <xdr:col>7</xdr:col>
      <xdr:colOff>657225</xdr:colOff>
      <xdr:row>73</xdr:row>
      <xdr:rowOff>12700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2875465-343A-48CD-80C9-6D0230DD3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784225</xdr:colOff>
      <xdr:row>57</xdr:row>
      <xdr:rowOff>0</xdr:rowOff>
    </xdr:from>
    <xdr:to>
      <xdr:col>13</xdr:col>
      <xdr:colOff>571500</xdr:colOff>
      <xdr:row>73</xdr:row>
      <xdr:rowOff>12700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134AB5F-2893-41BD-B8F6-E5F8E7A94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127000</xdr:colOff>
      <xdr:row>73</xdr:row>
      <xdr:rowOff>139700</xdr:rowOff>
    </xdr:from>
    <xdr:to>
      <xdr:col>3</xdr:col>
      <xdr:colOff>428625</xdr:colOff>
      <xdr:row>89</xdr:row>
      <xdr:rowOff>152400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A1A464E8-EA77-418A-A7D7-D9E0A0E8B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555625</xdr:colOff>
      <xdr:row>73</xdr:row>
      <xdr:rowOff>139700</xdr:rowOff>
    </xdr:from>
    <xdr:to>
      <xdr:col>7</xdr:col>
      <xdr:colOff>657225</xdr:colOff>
      <xdr:row>89</xdr:row>
      <xdr:rowOff>152400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C2EF38FB-DF9A-4678-85D7-33433E332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11</xdr:row>
      <xdr:rowOff>0</xdr:rowOff>
    </xdr:from>
    <xdr:to>
      <xdr:col>3</xdr:col>
      <xdr:colOff>428625</xdr:colOff>
      <xdr:row>27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211B450-7028-4338-85E6-9623EA1A0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555625</xdr:colOff>
      <xdr:row>11</xdr:row>
      <xdr:rowOff>0</xdr:rowOff>
    </xdr:from>
    <xdr:to>
      <xdr:col>7</xdr:col>
      <xdr:colOff>657225</xdr:colOff>
      <xdr:row>27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9CD5EFD-A8C4-4ADB-992A-B7C3977E0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40</xdr:row>
      <xdr:rowOff>0</xdr:rowOff>
    </xdr:from>
    <xdr:to>
      <xdr:col>3</xdr:col>
      <xdr:colOff>428625</xdr:colOff>
      <xdr:row>56</xdr:row>
      <xdr:rowOff>12700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B35D4E0-2F1B-44A9-89E6-137D073DC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555625</xdr:colOff>
      <xdr:row>40</xdr:row>
      <xdr:rowOff>0</xdr:rowOff>
    </xdr:from>
    <xdr:to>
      <xdr:col>7</xdr:col>
      <xdr:colOff>657225</xdr:colOff>
      <xdr:row>56</xdr:row>
      <xdr:rowOff>12700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313FC80-D51F-4902-8F5F-F642A40A2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10</xdr:row>
      <xdr:rowOff>0</xdr:rowOff>
    </xdr:from>
    <xdr:to>
      <xdr:col>3</xdr:col>
      <xdr:colOff>428625</xdr:colOff>
      <xdr:row>26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F53B4C9-706A-4850-9C60-FFB281683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555625</xdr:colOff>
      <xdr:row>10</xdr:row>
      <xdr:rowOff>0</xdr:rowOff>
    </xdr:from>
    <xdr:to>
      <xdr:col>7</xdr:col>
      <xdr:colOff>657225</xdr:colOff>
      <xdr:row>26</xdr:row>
      <xdr:rowOff>12700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01A5868-CF4F-4021-B1E1-D5F9456A4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38</xdr:row>
      <xdr:rowOff>0</xdr:rowOff>
    </xdr:from>
    <xdr:to>
      <xdr:col>3</xdr:col>
      <xdr:colOff>428625</xdr:colOff>
      <xdr:row>54</xdr:row>
      <xdr:rowOff>12700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2ADBB5F-6E0B-48F9-84F0-1CB071069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555625</xdr:colOff>
      <xdr:row>38</xdr:row>
      <xdr:rowOff>0</xdr:rowOff>
    </xdr:from>
    <xdr:to>
      <xdr:col>7</xdr:col>
      <xdr:colOff>657225</xdr:colOff>
      <xdr:row>54</xdr:row>
      <xdr:rowOff>12700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7F81C87-C6CE-4A7E-A859-E3E87309A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784225</xdr:colOff>
      <xdr:row>38</xdr:row>
      <xdr:rowOff>0</xdr:rowOff>
    </xdr:from>
    <xdr:to>
      <xdr:col>13</xdr:col>
      <xdr:colOff>571500</xdr:colOff>
      <xdr:row>54</xdr:row>
      <xdr:rowOff>12700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58C195C-303F-49E2-BB35-4953C67FC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127000</xdr:colOff>
      <xdr:row>54</xdr:row>
      <xdr:rowOff>139700</xdr:rowOff>
    </xdr:from>
    <xdr:to>
      <xdr:col>3</xdr:col>
      <xdr:colOff>428625</xdr:colOff>
      <xdr:row>70</xdr:row>
      <xdr:rowOff>152400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9DF1080-3FCD-4B6C-92DD-A091965AD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555625</xdr:colOff>
      <xdr:row>54</xdr:row>
      <xdr:rowOff>139700</xdr:rowOff>
    </xdr:from>
    <xdr:to>
      <xdr:col>7</xdr:col>
      <xdr:colOff>657225</xdr:colOff>
      <xdr:row>70</xdr:row>
      <xdr:rowOff>152400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8B1200A-AB07-444A-9502-195F07922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9031-5932-4589-B107-2F06DF8595F5}">
  <dimension ref="A1:A22"/>
  <sheetViews>
    <sheetView tabSelected="1" workbookViewId="0"/>
  </sheetViews>
  <sheetFormatPr defaultRowHeight="16.5" x14ac:dyDescent="0.3"/>
  <cols>
    <col min="1" max="1" width="150.625" customWidth="1"/>
  </cols>
  <sheetData>
    <row r="1" spans="1:1" ht="20.25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3" t="s">
        <v>9</v>
      </c>
    </row>
    <row r="14" spans="1:1" x14ac:dyDescent="0.3">
      <c r="A14" s="2" t="s">
        <v>10</v>
      </c>
    </row>
    <row r="15" spans="1:1" ht="33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/>
    </row>
    <row r="22" spans="1:1" x14ac:dyDescent="0.3">
      <c r="A22" t="s">
        <v>160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F216-4A07-4EFF-8E25-14CB70AE4DD9}">
  <dimension ref="A1:AI5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5" x14ac:dyDescent="0.3"/>
  <cols>
    <col min="1" max="1" width="14.625" customWidth="1"/>
    <col min="2" max="2" width="40.625" customWidth="1"/>
    <col min="3" max="35" width="12.625" customWidth="1"/>
  </cols>
  <sheetData>
    <row r="1" spans="1:35" ht="32.1" customHeight="1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  <c r="AH1" s="4" t="s">
        <v>49</v>
      </c>
      <c r="AI1" s="4" t="s">
        <v>50</v>
      </c>
    </row>
    <row r="2" spans="1:35" x14ac:dyDescent="0.3">
      <c r="A2" t="s">
        <v>51</v>
      </c>
      <c r="B2" t="s">
        <v>52</v>
      </c>
      <c r="C2" s="5">
        <v>6576661</v>
      </c>
      <c r="D2" s="5">
        <v>1005463</v>
      </c>
      <c r="E2" s="5">
        <v>743882</v>
      </c>
      <c r="F2" s="6">
        <v>15.3</v>
      </c>
      <c r="G2" s="6">
        <v>11.3</v>
      </c>
      <c r="H2" s="5">
        <v>6873228</v>
      </c>
      <c r="I2" s="5">
        <v>1068917</v>
      </c>
      <c r="J2" s="5">
        <v>768274</v>
      </c>
      <c r="K2" s="6">
        <v>15.6</v>
      </c>
      <c r="L2" s="6">
        <v>11.2</v>
      </c>
      <c r="M2" s="5">
        <v>7113059</v>
      </c>
      <c r="N2" s="5">
        <v>1033758</v>
      </c>
      <c r="O2" s="5">
        <v>735422</v>
      </c>
      <c r="P2" s="6">
        <v>14.5</v>
      </c>
      <c r="Q2" s="6">
        <v>10.3</v>
      </c>
      <c r="R2" s="5">
        <v>7352787</v>
      </c>
      <c r="S2" s="5">
        <v>997471</v>
      </c>
      <c r="T2" s="5">
        <v>750657</v>
      </c>
      <c r="U2" s="6">
        <v>13.6</v>
      </c>
      <c r="V2" s="6">
        <v>10.199999999999999</v>
      </c>
      <c r="W2" s="5">
        <v>7538736</v>
      </c>
      <c r="X2" s="5">
        <v>955941</v>
      </c>
      <c r="Y2" s="5">
        <v>790516</v>
      </c>
      <c r="Z2" s="6">
        <v>12.7</v>
      </c>
      <c r="AA2" s="6">
        <v>10.5</v>
      </c>
      <c r="AB2" s="5">
        <v>7641751</v>
      </c>
      <c r="AC2" s="5">
        <v>922413</v>
      </c>
      <c r="AD2" s="5">
        <v>769411</v>
      </c>
      <c r="AE2" s="6">
        <v>12.1</v>
      </c>
      <c r="AF2" s="6">
        <v>10.1</v>
      </c>
      <c r="AG2" s="5">
        <v>7748044</v>
      </c>
      <c r="AH2" s="5">
        <v>908468</v>
      </c>
      <c r="AI2" s="6">
        <v>11.7</v>
      </c>
    </row>
    <row r="3" spans="1:35" x14ac:dyDescent="0.3">
      <c r="A3" t="s">
        <v>51</v>
      </c>
      <c r="B3" t="s">
        <v>53</v>
      </c>
      <c r="C3" s="5">
        <v>49704</v>
      </c>
      <c r="D3" s="5">
        <v>8635</v>
      </c>
      <c r="E3" s="5">
        <v>7491</v>
      </c>
      <c r="F3" s="6">
        <v>17.399999999999999</v>
      </c>
      <c r="G3" s="6">
        <v>15.1</v>
      </c>
      <c r="H3" s="5">
        <v>52398</v>
      </c>
      <c r="I3" s="5">
        <v>10076</v>
      </c>
      <c r="J3" s="5">
        <v>7053</v>
      </c>
      <c r="K3" s="6">
        <v>19.2</v>
      </c>
      <c r="L3" s="6">
        <v>13.5</v>
      </c>
      <c r="M3" s="5">
        <v>57003</v>
      </c>
      <c r="N3" s="5">
        <v>11319</v>
      </c>
      <c r="O3" s="5">
        <v>7247</v>
      </c>
      <c r="P3" s="6">
        <v>19.899999999999999</v>
      </c>
      <c r="Q3" s="6">
        <v>12.7</v>
      </c>
      <c r="R3" s="5">
        <v>61731</v>
      </c>
      <c r="S3" s="5">
        <v>11616</v>
      </c>
      <c r="T3" s="5">
        <v>9852</v>
      </c>
      <c r="U3" s="6">
        <v>18.8</v>
      </c>
      <c r="V3" s="6">
        <v>16</v>
      </c>
      <c r="W3" s="5">
        <v>60229</v>
      </c>
      <c r="X3" s="5">
        <v>8833</v>
      </c>
      <c r="Y3" s="5">
        <v>7814</v>
      </c>
      <c r="Z3" s="6">
        <v>14.7</v>
      </c>
      <c r="AA3" s="6">
        <v>13</v>
      </c>
      <c r="AB3" s="5">
        <v>63367</v>
      </c>
      <c r="AC3" s="5">
        <v>10833</v>
      </c>
      <c r="AD3" s="5">
        <v>7815</v>
      </c>
      <c r="AE3" s="6">
        <v>17.100000000000001</v>
      </c>
      <c r="AF3" s="6">
        <v>12.3</v>
      </c>
      <c r="AG3" s="5">
        <v>67462</v>
      </c>
      <c r="AH3" s="5">
        <v>11746</v>
      </c>
      <c r="AI3" s="6">
        <v>17.399999999999999</v>
      </c>
    </row>
    <row r="4" spans="1:35" x14ac:dyDescent="0.3">
      <c r="A4" t="s">
        <v>51</v>
      </c>
      <c r="B4" t="s">
        <v>54</v>
      </c>
      <c r="C4" s="5">
        <v>1481</v>
      </c>
      <c r="D4" s="5">
        <v>199</v>
      </c>
      <c r="E4" s="5">
        <v>216</v>
      </c>
      <c r="F4" s="6">
        <v>13.4</v>
      </c>
      <c r="G4" s="6">
        <v>14.6</v>
      </c>
      <c r="H4" s="5">
        <v>1463</v>
      </c>
      <c r="I4" s="5">
        <v>211</v>
      </c>
      <c r="J4" s="5">
        <v>218</v>
      </c>
      <c r="K4" s="6">
        <v>14.4</v>
      </c>
      <c r="L4" s="6">
        <v>14.9</v>
      </c>
      <c r="M4" s="5">
        <v>1430</v>
      </c>
      <c r="N4" s="5">
        <v>194</v>
      </c>
      <c r="O4" s="5">
        <v>181</v>
      </c>
      <c r="P4" s="6">
        <v>13.6</v>
      </c>
      <c r="Q4" s="6">
        <v>12.7</v>
      </c>
      <c r="R4" s="5">
        <v>1430</v>
      </c>
      <c r="S4" s="5">
        <v>193</v>
      </c>
      <c r="T4" s="5">
        <v>201</v>
      </c>
      <c r="U4" s="6">
        <v>13.5</v>
      </c>
      <c r="V4" s="6">
        <v>14.1</v>
      </c>
      <c r="W4" s="5">
        <v>1366</v>
      </c>
      <c r="X4" s="5">
        <v>131</v>
      </c>
      <c r="Y4" s="5">
        <v>161</v>
      </c>
      <c r="Z4" s="6">
        <v>9.6</v>
      </c>
      <c r="AA4" s="6">
        <v>11.8</v>
      </c>
      <c r="AB4" s="5">
        <v>1359</v>
      </c>
      <c r="AC4" s="5">
        <v>165</v>
      </c>
      <c r="AD4" s="5">
        <v>173</v>
      </c>
      <c r="AE4" s="6">
        <v>12.1</v>
      </c>
      <c r="AF4" s="6">
        <v>12.7</v>
      </c>
      <c r="AG4" s="5">
        <v>1279</v>
      </c>
      <c r="AH4" s="5">
        <v>101</v>
      </c>
      <c r="AI4" s="6">
        <v>7.9</v>
      </c>
    </row>
    <row r="5" spans="1:35" x14ac:dyDescent="0.3">
      <c r="A5" t="s">
        <v>51</v>
      </c>
      <c r="B5" t="s">
        <v>55</v>
      </c>
      <c r="C5" s="5">
        <v>542524</v>
      </c>
      <c r="D5" s="5">
        <v>48313</v>
      </c>
      <c r="E5" s="5">
        <v>39537</v>
      </c>
      <c r="F5" s="6">
        <v>8.9</v>
      </c>
      <c r="G5" s="6">
        <v>7.3</v>
      </c>
      <c r="H5" s="5">
        <v>550332</v>
      </c>
      <c r="I5" s="5">
        <v>47853</v>
      </c>
      <c r="J5" s="5">
        <v>36861</v>
      </c>
      <c r="K5" s="6">
        <v>8.6999999999999993</v>
      </c>
      <c r="L5" s="6">
        <v>6.7</v>
      </c>
      <c r="M5" s="5">
        <v>562351</v>
      </c>
      <c r="N5" s="5">
        <v>48944</v>
      </c>
      <c r="O5" s="5">
        <v>35680</v>
      </c>
      <c r="P5" s="6">
        <v>8.6999999999999993</v>
      </c>
      <c r="Q5" s="6">
        <v>6.3</v>
      </c>
      <c r="R5" s="5">
        <v>566952</v>
      </c>
      <c r="S5" s="5">
        <v>40688</v>
      </c>
      <c r="T5" s="5">
        <v>37387</v>
      </c>
      <c r="U5" s="6">
        <v>7.2</v>
      </c>
      <c r="V5" s="6">
        <v>6.6</v>
      </c>
      <c r="W5" s="5">
        <v>565945</v>
      </c>
      <c r="X5" s="5">
        <v>37124</v>
      </c>
      <c r="Y5" s="5">
        <v>38745</v>
      </c>
      <c r="Z5" s="6">
        <v>6.6</v>
      </c>
      <c r="AA5" s="6">
        <v>6.8</v>
      </c>
      <c r="AB5" s="5">
        <v>560551</v>
      </c>
      <c r="AC5" s="5">
        <v>34362</v>
      </c>
      <c r="AD5" s="5">
        <v>36815</v>
      </c>
      <c r="AE5" s="6">
        <v>6.1</v>
      </c>
      <c r="AF5" s="6">
        <v>6.6</v>
      </c>
      <c r="AG5" s="5">
        <v>555441</v>
      </c>
      <c r="AH5" s="5">
        <v>32475</v>
      </c>
      <c r="AI5" s="6">
        <v>5.8</v>
      </c>
    </row>
    <row r="6" spans="1:35" x14ac:dyDescent="0.3">
      <c r="A6" t="s">
        <v>51</v>
      </c>
      <c r="B6" t="s">
        <v>56</v>
      </c>
      <c r="C6" s="5">
        <v>48663</v>
      </c>
      <c r="D6" s="5">
        <v>17314</v>
      </c>
      <c r="E6" s="5">
        <v>1414</v>
      </c>
      <c r="F6" s="6">
        <v>35.6</v>
      </c>
      <c r="G6" s="6">
        <v>2.9</v>
      </c>
      <c r="H6" s="5">
        <v>69769</v>
      </c>
      <c r="I6" s="5">
        <v>21883</v>
      </c>
      <c r="J6" s="5">
        <v>2321</v>
      </c>
      <c r="K6" s="6">
        <v>31.4</v>
      </c>
      <c r="L6" s="6">
        <v>3.3</v>
      </c>
      <c r="M6" s="5">
        <v>89744</v>
      </c>
      <c r="N6" s="5">
        <v>21748</v>
      </c>
      <c r="O6" s="5">
        <v>2621</v>
      </c>
      <c r="P6" s="6">
        <v>24.2</v>
      </c>
      <c r="Q6" s="6">
        <v>2.9</v>
      </c>
      <c r="R6" s="5">
        <v>108002</v>
      </c>
      <c r="S6" s="5">
        <v>20098</v>
      </c>
      <c r="T6" s="5">
        <v>2933</v>
      </c>
      <c r="U6" s="6">
        <v>18.600000000000001</v>
      </c>
      <c r="V6" s="6">
        <v>2.7</v>
      </c>
      <c r="W6" s="5">
        <v>124463</v>
      </c>
      <c r="X6" s="5">
        <v>18716</v>
      </c>
      <c r="Y6" s="5">
        <v>3472</v>
      </c>
      <c r="Z6" s="6">
        <v>15</v>
      </c>
      <c r="AA6" s="6">
        <v>2.8</v>
      </c>
      <c r="AB6" s="5">
        <v>141215</v>
      </c>
      <c r="AC6" s="5">
        <v>19155</v>
      </c>
      <c r="AD6" s="5">
        <v>4048</v>
      </c>
      <c r="AE6" s="6">
        <v>13.6</v>
      </c>
      <c r="AF6" s="6">
        <v>2.9</v>
      </c>
      <c r="AG6" s="5">
        <v>156870</v>
      </c>
      <c r="AH6" s="5">
        <v>18454</v>
      </c>
      <c r="AI6" s="6">
        <v>11.8</v>
      </c>
    </row>
    <row r="7" spans="1:35" x14ac:dyDescent="0.3">
      <c r="A7" t="s">
        <v>51</v>
      </c>
      <c r="B7" t="s">
        <v>57</v>
      </c>
      <c r="C7" s="5">
        <v>10093</v>
      </c>
      <c r="D7" s="5">
        <v>1065</v>
      </c>
      <c r="E7" s="5">
        <v>497</v>
      </c>
      <c r="F7" s="6">
        <v>10.6</v>
      </c>
      <c r="G7" s="6">
        <v>4.9000000000000004</v>
      </c>
      <c r="H7" s="5">
        <v>10575</v>
      </c>
      <c r="I7" s="5">
        <v>928</v>
      </c>
      <c r="J7" s="5">
        <v>528</v>
      </c>
      <c r="K7" s="6">
        <v>8.8000000000000007</v>
      </c>
      <c r="L7" s="6">
        <v>5</v>
      </c>
      <c r="M7" s="5">
        <v>10959</v>
      </c>
      <c r="N7" s="5">
        <v>902</v>
      </c>
      <c r="O7" s="5">
        <v>500</v>
      </c>
      <c r="P7" s="6">
        <v>8.1999999999999993</v>
      </c>
      <c r="Q7" s="6">
        <v>4.5999999999999996</v>
      </c>
      <c r="R7" s="5">
        <v>11504</v>
      </c>
      <c r="S7" s="5">
        <v>1001</v>
      </c>
      <c r="T7" s="5">
        <v>582</v>
      </c>
      <c r="U7" s="6">
        <v>8.6999999999999993</v>
      </c>
      <c r="V7" s="6">
        <v>5.0999999999999996</v>
      </c>
      <c r="W7" s="5">
        <v>11632</v>
      </c>
      <c r="X7" s="5">
        <v>736</v>
      </c>
      <c r="Y7" s="5">
        <v>602</v>
      </c>
      <c r="Z7" s="6">
        <v>6.3</v>
      </c>
      <c r="AA7" s="6">
        <v>5.2</v>
      </c>
      <c r="AB7" s="5">
        <v>11901</v>
      </c>
      <c r="AC7" s="5">
        <v>862</v>
      </c>
      <c r="AD7" s="5">
        <v>694</v>
      </c>
      <c r="AE7" s="6">
        <v>7.2</v>
      </c>
      <c r="AF7" s="6">
        <v>5.8</v>
      </c>
      <c r="AG7" s="5">
        <v>11743</v>
      </c>
      <c r="AH7" s="5">
        <v>549</v>
      </c>
      <c r="AI7" s="6">
        <v>4.7</v>
      </c>
    </row>
    <row r="8" spans="1:35" x14ac:dyDescent="0.3">
      <c r="A8" t="s">
        <v>51</v>
      </c>
      <c r="B8" t="s">
        <v>58</v>
      </c>
      <c r="C8" s="5">
        <v>444396</v>
      </c>
      <c r="D8" s="5">
        <v>51172</v>
      </c>
      <c r="E8" s="5">
        <v>31755</v>
      </c>
      <c r="F8" s="6">
        <v>11.5</v>
      </c>
      <c r="G8" s="6">
        <v>7.1</v>
      </c>
      <c r="H8" s="5">
        <v>465352</v>
      </c>
      <c r="I8" s="5">
        <v>53585</v>
      </c>
      <c r="J8" s="5">
        <v>30841</v>
      </c>
      <c r="K8" s="6">
        <v>11.5</v>
      </c>
      <c r="L8" s="6">
        <v>6.6</v>
      </c>
      <c r="M8" s="5">
        <v>490882</v>
      </c>
      <c r="N8" s="5">
        <v>55382</v>
      </c>
      <c r="O8" s="5">
        <v>34064</v>
      </c>
      <c r="P8" s="6">
        <v>11.3</v>
      </c>
      <c r="Q8" s="6">
        <v>6.9</v>
      </c>
      <c r="R8" s="5">
        <v>509156</v>
      </c>
      <c r="S8" s="5">
        <v>50725</v>
      </c>
      <c r="T8" s="5">
        <v>37192</v>
      </c>
      <c r="U8" s="6">
        <v>10</v>
      </c>
      <c r="V8" s="6">
        <v>7.3</v>
      </c>
      <c r="W8" s="5">
        <v>520473</v>
      </c>
      <c r="X8" s="5">
        <v>49491</v>
      </c>
      <c r="Y8" s="5">
        <v>39611</v>
      </c>
      <c r="Z8" s="6">
        <v>9.5</v>
      </c>
      <c r="AA8" s="6">
        <v>7.6</v>
      </c>
      <c r="AB8" s="5">
        <v>526344</v>
      </c>
      <c r="AC8" s="5">
        <v>47376</v>
      </c>
      <c r="AD8" s="5">
        <v>40359</v>
      </c>
      <c r="AE8" s="6">
        <v>9</v>
      </c>
      <c r="AF8" s="6">
        <v>7.7</v>
      </c>
      <c r="AG8" s="5">
        <v>527213</v>
      </c>
      <c r="AH8" s="5">
        <v>44016</v>
      </c>
      <c r="AI8" s="6">
        <v>8.3000000000000007</v>
      </c>
    </row>
    <row r="9" spans="1:35" x14ac:dyDescent="0.3">
      <c r="A9" t="s">
        <v>51</v>
      </c>
      <c r="B9" t="s">
        <v>59</v>
      </c>
      <c r="C9" s="5">
        <v>1437369</v>
      </c>
      <c r="D9" s="5">
        <v>202772</v>
      </c>
      <c r="E9" s="5">
        <v>172302</v>
      </c>
      <c r="F9" s="6">
        <v>14.1</v>
      </c>
      <c r="G9" s="6">
        <v>12</v>
      </c>
      <c r="H9" s="5">
        <v>1483304</v>
      </c>
      <c r="I9" s="5">
        <v>225866</v>
      </c>
      <c r="J9" s="5">
        <v>178294</v>
      </c>
      <c r="K9" s="6">
        <v>15.2</v>
      </c>
      <c r="L9" s="6">
        <v>12</v>
      </c>
      <c r="M9" s="5">
        <v>1531041</v>
      </c>
      <c r="N9" s="5">
        <v>230829</v>
      </c>
      <c r="O9" s="5">
        <v>181040</v>
      </c>
      <c r="P9" s="6">
        <v>15.1</v>
      </c>
      <c r="Q9" s="6">
        <v>11.8</v>
      </c>
      <c r="R9" s="5">
        <v>1578452</v>
      </c>
      <c r="S9" s="5">
        <v>230019</v>
      </c>
      <c r="T9" s="5">
        <v>192724</v>
      </c>
      <c r="U9" s="6">
        <v>14.6</v>
      </c>
      <c r="V9" s="6">
        <v>12.2</v>
      </c>
      <c r="W9" s="5">
        <v>1617335</v>
      </c>
      <c r="X9" s="5">
        <v>234276</v>
      </c>
      <c r="Y9" s="5">
        <v>209680</v>
      </c>
      <c r="Z9" s="6">
        <v>14.5</v>
      </c>
      <c r="AA9" s="6">
        <v>13</v>
      </c>
      <c r="AB9" s="5">
        <v>1631734</v>
      </c>
      <c r="AC9" s="5">
        <v>230146</v>
      </c>
      <c r="AD9" s="5">
        <v>206480</v>
      </c>
      <c r="AE9" s="6">
        <v>14.1</v>
      </c>
      <c r="AF9" s="6">
        <v>12.7</v>
      </c>
      <c r="AG9" s="5">
        <v>1662205</v>
      </c>
      <c r="AH9" s="5">
        <v>244338</v>
      </c>
      <c r="AI9" s="6">
        <v>14.7</v>
      </c>
    </row>
    <row r="10" spans="1:35" x14ac:dyDescent="0.3">
      <c r="A10" t="s">
        <v>51</v>
      </c>
      <c r="B10" t="s">
        <v>60</v>
      </c>
      <c r="C10" s="5">
        <v>591142</v>
      </c>
      <c r="D10" s="5">
        <v>62436</v>
      </c>
      <c r="E10" s="5">
        <v>44440</v>
      </c>
      <c r="F10" s="6">
        <v>10.6</v>
      </c>
      <c r="G10" s="6">
        <v>7.5</v>
      </c>
      <c r="H10" s="5">
        <v>592414</v>
      </c>
      <c r="I10" s="5">
        <v>49532</v>
      </c>
      <c r="J10" s="5">
        <v>46562</v>
      </c>
      <c r="K10" s="6">
        <v>8.4</v>
      </c>
      <c r="L10" s="6">
        <v>7.9</v>
      </c>
      <c r="M10" s="5">
        <v>596511</v>
      </c>
      <c r="N10" s="5">
        <v>54184</v>
      </c>
      <c r="O10" s="5">
        <v>41802</v>
      </c>
      <c r="P10" s="6">
        <v>9.1</v>
      </c>
      <c r="Q10" s="6">
        <v>7</v>
      </c>
      <c r="R10" s="5">
        <v>619316</v>
      </c>
      <c r="S10" s="5">
        <v>66889</v>
      </c>
      <c r="T10" s="5">
        <v>44096</v>
      </c>
      <c r="U10" s="6">
        <v>10.8</v>
      </c>
      <c r="V10" s="6">
        <v>7.1</v>
      </c>
      <c r="W10" s="5">
        <v>634277</v>
      </c>
      <c r="X10" s="5">
        <v>60066</v>
      </c>
      <c r="Y10" s="5">
        <v>55834</v>
      </c>
      <c r="Z10" s="6">
        <v>9.5</v>
      </c>
      <c r="AA10" s="6">
        <v>8.8000000000000007</v>
      </c>
      <c r="AB10" s="5">
        <v>633169</v>
      </c>
      <c r="AC10" s="5">
        <v>56335</v>
      </c>
      <c r="AD10" s="5">
        <v>52046</v>
      </c>
      <c r="AE10" s="6">
        <v>8.9</v>
      </c>
      <c r="AF10" s="6">
        <v>8.1999999999999993</v>
      </c>
      <c r="AG10" s="5">
        <v>632721</v>
      </c>
      <c r="AH10" s="5">
        <v>55067</v>
      </c>
      <c r="AI10" s="6">
        <v>8.6999999999999993</v>
      </c>
    </row>
    <row r="11" spans="1:35" x14ac:dyDescent="0.3">
      <c r="A11" t="s">
        <v>51</v>
      </c>
      <c r="B11" t="s">
        <v>61</v>
      </c>
      <c r="C11" s="5">
        <v>856474</v>
      </c>
      <c r="D11" s="5">
        <v>166596</v>
      </c>
      <c r="E11" s="5">
        <v>136097</v>
      </c>
      <c r="F11" s="6">
        <v>19.5</v>
      </c>
      <c r="G11" s="6">
        <v>15.9</v>
      </c>
      <c r="H11" s="5">
        <v>866002</v>
      </c>
      <c r="I11" s="5">
        <v>154741</v>
      </c>
      <c r="J11" s="5">
        <v>132778</v>
      </c>
      <c r="K11" s="6">
        <v>17.899999999999999</v>
      </c>
      <c r="L11" s="6">
        <v>15.3</v>
      </c>
      <c r="M11" s="5">
        <v>872805</v>
      </c>
      <c r="N11" s="5">
        <v>148279</v>
      </c>
      <c r="O11" s="5">
        <v>118711</v>
      </c>
      <c r="P11" s="6">
        <v>17</v>
      </c>
      <c r="Q11" s="6">
        <v>13.6</v>
      </c>
      <c r="R11" s="5">
        <v>892399</v>
      </c>
      <c r="S11" s="5">
        <v>145322</v>
      </c>
      <c r="T11" s="5">
        <v>124435</v>
      </c>
      <c r="U11" s="6">
        <v>16.3</v>
      </c>
      <c r="V11" s="6">
        <v>13.9</v>
      </c>
      <c r="W11" s="5">
        <v>918362</v>
      </c>
      <c r="X11" s="5">
        <v>157901</v>
      </c>
      <c r="Y11" s="5">
        <v>135105</v>
      </c>
      <c r="Z11" s="6">
        <v>17.2</v>
      </c>
      <c r="AA11" s="6">
        <v>14.7</v>
      </c>
      <c r="AB11" s="5">
        <v>916804</v>
      </c>
      <c r="AC11" s="5">
        <v>143842</v>
      </c>
      <c r="AD11" s="5">
        <v>129476</v>
      </c>
      <c r="AE11" s="6">
        <v>15.7</v>
      </c>
      <c r="AF11" s="6">
        <v>14.1</v>
      </c>
      <c r="AG11" s="5">
        <v>904820</v>
      </c>
      <c r="AH11" s="5">
        <v>128059</v>
      </c>
      <c r="AI11" s="6">
        <v>14.2</v>
      </c>
    </row>
    <row r="12" spans="1:35" x14ac:dyDescent="0.3">
      <c r="A12" t="s">
        <v>51</v>
      </c>
      <c r="B12" t="s">
        <v>62</v>
      </c>
      <c r="C12" s="5">
        <v>96463</v>
      </c>
      <c r="D12" s="5">
        <v>18087</v>
      </c>
      <c r="E12" s="5">
        <v>10187</v>
      </c>
      <c r="F12" s="6">
        <v>18.8</v>
      </c>
      <c r="G12" s="6">
        <v>10.6</v>
      </c>
      <c r="H12" s="5">
        <v>107894</v>
      </c>
      <c r="I12" s="5">
        <v>21433</v>
      </c>
      <c r="J12" s="5">
        <v>11278</v>
      </c>
      <c r="K12" s="6">
        <v>19.899999999999999</v>
      </c>
      <c r="L12" s="6">
        <v>10.5</v>
      </c>
      <c r="M12" s="5">
        <v>122139</v>
      </c>
      <c r="N12" s="5">
        <v>25179</v>
      </c>
      <c r="O12" s="5">
        <v>13068</v>
      </c>
      <c r="P12" s="6">
        <v>20.6</v>
      </c>
      <c r="Q12" s="6">
        <v>10.7</v>
      </c>
      <c r="R12" s="5">
        <v>135003</v>
      </c>
      <c r="S12" s="5">
        <v>25777</v>
      </c>
      <c r="T12" s="5">
        <v>15201</v>
      </c>
      <c r="U12" s="6">
        <v>19.100000000000001</v>
      </c>
      <c r="V12" s="6">
        <v>11.3</v>
      </c>
      <c r="W12" s="5">
        <v>144789</v>
      </c>
      <c r="X12" s="5">
        <v>25351</v>
      </c>
      <c r="Y12" s="5">
        <v>15879</v>
      </c>
      <c r="Z12" s="6">
        <v>17.5</v>
      </c>
      <c r="AA12" s="6">
        <v>11</v>
      </c>
      <c r="AB12" s="5">
        <v>156357</v>
      </c>
      <c r="AC12" s="5">
        <v>27292</v>
      </c>
      <c r="AD12" s="5">
        <v>17136</v>
      </c>
      <c r="AE12" s="6">
        <v>17.5</v>
      </c>
      <c r="AF12" s="6">
        <v>11</v>
      </c>
      <c r="AG12" s="5">
        <v>168338</v>
      </c>
      <c r="AH12" s="5">
        <v>28967</v>
      </c>
      <c r="AI12" s="6">
        <v>17.2</v>
      </c>
    </row>
    <row r="13" spans="1:35" x14ac:dyDescent="0.3">
      <c r="A13" t="s">
        <v>51</v>
      </c>
      <c r="B13" t="s">
        <v>63</v>
      </c>
      <c r="C13" s="5">
        <v>21854</v>
      </c>
      <c r="D13" s="5">
        <v>3927</v>
      </c>
      <c r="E13" s="5">
        <v>3067</v>
      </c>
      <c r="F13" s="6">
        <v>18</v>
      </c>
      <c r="G13" s="6">
        <v>14</v>
      </c>
      <c r="H13" s="5">
        <v>22387</v>
      </c>
      <c r="I13" s="5">
        <v>3755</v>
      </c>
      <c r="J13" s="5">
        <v>3147</v>
      </c>
      <c r="K13" s="6">
        <v>16.8</v>
      </c>
      <c r="L13" s="6">
        <v>14.1</v>
      </c>
      <c r="M13" s="5">
        <v>23336</v>
      </c>
      <c r="N13" s="5">
        <v>4154</v>
      </c>
      <c r="O13" s="5">
        <v>2758</v>
      </c>
      <c r="P13" s="6">
        <v>17.8</v>
      </c>
      <c r="Q13" s="6">
        <v>11.8</v>
      </c>
      <c r="R13" s="5">
        <v>23578</v>
      </c>
      <c r="S13" s="5">
        <v>3480</v>
      </c>
      <c r="T13" s="5">
        <v>2902</v>
      </c>
      <c r="U13" s="6">
        <v>14.8</v>
      </c>
      <c r="V13" s="6">
        <v>12.3</v>
      </c>
      <c r="W13" s="5">
        <v>29506</v>
      </c>
      <c r="X13" s="5">
        <v>3509</v>
      </c>
      <c r="Y13" s="5">
        <v>2856</v>
      </c>
      <c r="Z13" s="6">
        <v>11.9</v>
      </c>
      <c r="AA13" s="6">
        <v>9.6999999999999993</v>
      </c>
      <c r="AB13" s="5">
        <v>29893</v>
      </c>
      <c r="AC13" s="5">
        <v>3884</v>
      </c>
      <c r="AD13" s="5">
        <v>2819</v>
      </c>
      <c r="AE13" s="6">
        <v>13</v>
      </c>
      <c r="AF13" s="6">
        <v>9.4</v>
      </c>
      <c r="AG13" s="5">
        <v>31290</v>
      </c>
      <c r="AH13" s="5">
        <v>4184</v>
      </c>
      <c r="AI13" s="6">
        <v>13.4</v>
      </c>
    </row>
    <row r="14" spans="1:35" x14ac:dyDescent="0.3">
      <c r="A14" t="s">
        <v>51</v>
      </c>
      <c r="B14" t="s">
        <v>64</v>
      </c>
      <c r="C14" s="5">
        <v>1471002</v>
      </c>
      <c r="D14" s="5">
        <v>252489</v>
      </c>
      <c r="E14" s="5">
        <v>174633</v>
      </c>
      <c r="F14" s="6">
        <v>17.2</v>
      </c>
      <c r="G14" s="6">
        <v>11.9</v>
      </c>
      <c r="H14" s="5">
        <v>1599467</v>
      </c>
      <c r="I14" s="5">
        <v>306167</v>
      </c>
      <c r="J14" s="5">
        <v>194412</v>
      </c>
      <c r="K14" s="6">
        <v>19.100000000000001</v>
      </c>
      <c r="L14" s="6">
        <v>12.2</v>
      </c>
      <c r="M14" s="5">
        <v>1652822</v>
      </c>
      <c r="N14" s="5">
        <v>255540</v>
      </c>
      <c r="O14" s="5">
        <v>181039</v>
      </c>
      <c r="P14" s="6">
        <v>15.5</v>
      </c>
      <c r="Q14" s="6">
        <v>11</v>
      </c>
      <c r="R14" s="5">
        <v>1684477</v>
      </c>
      <c r="S14" s="5">
        <v>223811</v>
      </c>
      <c r="T14" s="5">
        <v>155644</v>
      </c>
      <c r="U14" s="6">
        <v>13.3</v>
      </c>
      <c r="V14" s="6">
        <v>9.1999999999999993</v>
      </c>
      <c r="W14" s="5">
        <v>1706422</v>
      </c>
      <c r="X14" s="5">
        <v>185554</v>
      </c>
      <c r="Y14" s="5">
        <v>152299</v>
      </c>
      <c r="Z14" s="6">
        <v>10.9</v>
      </c>
      <c r="AA14" s="6">
        <v>8.9</v>
      </c>
      <c r="AB14" s="5">
        <v>1718845</v>
      </c>
      <c r="AC14" s="5">
        <v>169264</v>
      </c>
      <c r="AD14" s="5">
        <v>146125</v>
      </c>
      <c r="AE14" s="6">
        <v>9.8000000000000007</v>
      </c>
      <c r="AF14" s="6">
        <v>8.5</v>
      </c>
      <c r="AG14" s="5">
        <v>1721584</v>
      </c>
      <c r="AH14" s="5">
        <v>154697</v>
      </c>
      <c r="AI14" s="6">
        <v>9</v>
      </c>
    </row>
    <row r="15" spans="1:35" x14ac:dyDescent="0.3">
      <c r="A15" t="s">
        <v>51</v>
      </c>
      <c r="B15" t="s">
        <v>65</v>
      </c>
      <c r="C15" s="5">
        <v>186573</v>
      </c>
      <c r="D15" s="5">
        <v>30167</v>
      </c>
      <c r="E15" s="5">
        <v>17210</v>
      </c>
      <c r="F15" s="6">
        <v>16.2</v>
      </c>
      <c r="G15" s="6">
        <v>9.1999999999999993</v>
      </c>
      <c r="H15" s="5">
        <v>204120</v>
      </c>
      <c r="I15" s="5">
        <v>34430</v>
      </c>
      <c r="J15" s="5">
        <v>18897</v>
      </c>
      <c r="K15" s="6">
        <v>16.899999999999999</v>
      </c>
      <c r="L15" s="6">
        <v>9.3000000000000007</v>
      </c>
      <c r="M15" s="5">
        <v>224550</v>
      </c>
      <c r="N15" s="5">
        <v>38957</v>
      </c>
      <c r="O15" s="5">
        <v>20545</v>
      </c>
      <c r="P15" s="6">
        <v>17.3</v>
      </c>
      <c r="Q15" s="6">
        <v>9.1</v>
      </c>
      <c r="R15" s="5">
        <v>243363</v>
      </c>
      <c r="S15" s="5">
        <v>39133</v>
      </c>
      <c r="T15" s="5">
        <v>23309</v>
      </c>
      <c r="U15" s="6">
        <v>16.100000000000001</v>
      </c>
      <c r="V15" s="6">
        <v>9.6</v>
      </c>
      <c r="W15" s="5">
        <v>258266</v>
      </c>
      <c r="X15" s="5">
        <v>38372</v>
      </c>
      <c r="Y15" s="5">
        <v>24941</v>
      </c>
      <c r="Z15" s="6">
        <v>14.9</v>
      </c>
      <c r="AA15" s="6">
        <v>9.6999999999999993</v>
      </c>
      <c r="AB15" s="5">
        <v>272196</v>
      </c>
      <c r="AC15" s="5">
        <v>38862</v>
      </c>
      <c r="AD15" s="5">
        <v>25720</v>
      </c>
      <c r="AE15" s="6">
        <v>14.3</v>
      </c>
      <c r="AF15" s="6">
        <v>9.4</v>
      </c>
      <c r="AG15" s="5">
        <v>289197</v>
      </c>
      <c r="AH15" s="5">
        <v>42178</v>
      </c>
      <c r="AI15" s="6">
        <v>14.6</v>
      </c>
    </row>
    <row r="16" spans="1:35" x14ac:dyDescent="0.3">
      <c r="A16" t="s">
        <v>51</v>
      </c>
      <c r="B16" t="s">
        <v>66</v>
      </c>
      <c r="C16" s="5">
        <v>131173</v>
      </c>
      <c r="D16" s="5">
        <v>24139</v>
      </c>
      <c r="E16" s="5">
        <v>19431</v>
      </c>
      <c r="F16" s="6">
        <v>18.399999999999999</v>
      </c>
      <c r="G16" s="6">
        <v>14.8</v>
      </c>
      <c r="H16" s="5">
        <v>140739</v>
      </c>
      <c r="I16" s="5">
        <v>29318</v>
      </c>
      <c r="J16" s="5">
        <v>20478</v>
      </c>
      <c r="K16" s="6">
        <v>20.8</v>
      </c>
      <c r="L16" s="6">
        <v>14.6</v>
      </c>
      <c r="M16" s="5">
        <v>144721</v>
      </c>
      <c r="N16" s="5">
        <v>24815</v>
      </c>
      <c r="O16" s="5">
        <v>17824</v>
      </c>
      <c r="P16" s="6">
        <v>17.100000000000001</v>
      </c>
      <c r="Q16" s="6">
        <v>12.3</v>
      </c>
      <c r="R16" s="5">
        <v>152377</v>
      </c>
      <c r="S16" s="5">
        <v>25713</v>
      </c>
      <c r="T16" s="5">
        <v>18907</v>
      </c>
      <c r="U16" s="6">
        <v>16.899999999999999</v>
      </c>
      <c r="V16" s="6">
        <v>12.4</v>
      </c>
      <c r="W16" s="5">
        <v>158751</v>
      </c>
      <c r="X16" s="5">
        <v>25390</v>
      </c>
      <c r="Y16" s="5">
        <v>19378</v>
      </c>
      <c r="Z16" s="6">
        <v>16</v>
      </c>
      <c r="AA16" s="6">
        <v>12.2</v>
      </c>
      <c r="AB16" s="5">
        <v>164293</v>
      </c>
      <c r="AC16" s="5">
        <v>25150</v>
      </c>
      <c r="AD16" s="5">
        <v>19603</v>
      </c>
      <c r="AE16" s="6">
        <v>15.3</v>
      </c>
      <c r="AF16" s="6">
        <v>11.9</v>
      </c>
      <c r="AG16" s="5">
        <v>171865</v>
      </c>
      <c r="AH16" s="5">
        <v>27286</v>
      </c>
      <c r="AI16" s="6">
        <v>15.9</v>
      </c>
    </row>
    <row r="17" spans="1:35" x14ac:dyDescent="0.3">
      <c r="A17" t="s">
        <v>51</v>
      </c>
      <c r="B17" t="s">
        <v>67</v>
      </c>
      <c r="C17" s="5">
        <v>171451</v>
      </c>
      <c r="D17" s="5">
        <v>34844</v>
      </c>
      <c r="E17" s="5">
        <v>26320</v>
      </c>
      <c r="F17" s="6">
        <v>20.3</v>
      </c>
      <c r="G17" s="6">
        <v>15.4</v>
      </c>
      <c r="H17" s="5">
        <v>179629</v>
      </c>
      <c r="I17" s="5">
        <v>35059</v>
      </c>
      <c r="J17" s="5">
        <v>23894</v>
      </c>
      <c r="K17" s="6">
        <v>19.5</v>
      </c>
      <c r="L17" s="6">
        <v>13.3</v>
      </c>
      <c r="M17" s="5">
        <v>193853</v>
      </c>
      <c r="N17" s="5">
        <v>38442</v>
      </c>
      <c r="O17" s="5">
        <v>22853</v>
      </c>
      <c r="P17" s="6">
        <v>19.8</v>
      </c>
      <c r="Q17" s="6">
        <v>11.8</v>
      </c>
      <c r="R17" s="5">
        <v>207812</v>
      </c>
      <c r="S17" s="5">
        <v>36933</v>
      </c>
      <c r="T17" s="5">
        <v>28726</v>
      </c>
      <c r="U17" s="6">
        <v>17.8</v>
      </c>
      <c r="V17" s="6">
        <v>13.8</v>
      </c>
      <c r="W17" s="5">
        <v>214571</v>
      </c>
      <c r="X17" s="5">
        <v>36177</v>
      </c>
      <c r="Y17" s="5">
        <v>27770</v>
      </c>
      <c r="Z17" s="6">
        <v>16.899999999999999</v>
      </c>
      <c r="AA17" s="6">
        <v>12.9</v>
      </c>
      <c r="AB17" s="5">
        <v>224177</v>
      </c>
      <c r="AC17" s="5">
        <v>38454</v>
      </c>
      <c r="AD17" s="5">
        <v>27348</v>
      </c>
      <c r="AE17" s="6">
        <v>17.2</v>
      </c>
      <c r="AF17" s="6">
        <v>12.2</v>
      </c>
      <c r="AG17" s="5">
        <v>234404</v>
      </c>
      <c r="AH17" s="5">
        <v>38467</v>
      </c>
      <c r="AI17" s="6">
        <v>16.399999999999999</v>
      </c>
    </row>
    <row r="18" spans="1:35" x14ac:dyDescent="0.3">
      <c r="A18" t="s">
        <v>51</v>
      </c>
      <c r="B18" t="s">
        <v>68</v>
      </c>
      <c r="C18" s="5">
        <v>76584</v>
      </c>
      <c r="D18" s="5">
        <v>5123</v>
      </c>
      <c r="E18" s="5">
        <v>2837</v>
      </c>
      <c r="F18" s="6">
        <v>6.7</v>
      </c>
      <c r="G18" s="6">
        <v>3.7</v>
      </c>
      <c r="H18" s="5">
        <v>77630</v>
      </c>
      <c r="I18" s="5">
        <v>4321</v>
      </c>
      <c r="J18" s="5">
        <v>2687</v>
      </c>
      <c r="K18" s="6">
        <v>5.6</v>
      </c>
      <c r="L18" s="6">
        <v>3.5</v>
      </c>
      <c r="M18" s="5">
        <v>79140</v>
      </c>
      <c r="N18" s="5">
        <v>4636</v>
      </c>
      <c r="O18" s="5">
        <v>2610</v>
      </c>
      <c r="P18" s="6">
        <v>5.9</v>
      </c>
      <c r="Q18" s="6">
        <v>3.3</v>
      </c>
      <c r="R18" s="5">
        <v>81323</v>
      </c>
      <c r="S18" s="5">
        <v>5135</v>
      </c>
      <c r="T18" s="5">
        <v>2821</v>
      </c>
      <c r="U18" s="6">
        <v>6.3</v>
      </c>
      <c r="V18" s="6">
        <v>3.5</v>
      </c>
      <c r="W18" s="5">
        <v>82624</v>
      </c>
      <c r="X18" s="5">
        <v>4497</v>
      </c>
      <c r="Y18" s="5">
        <v>2675</v>
      </c>
      <c r="Z18" s="6">
        <v>5.4</v>
      </c>
      <c r="AA18" s="6">
        <v>3.2</v>
      </c>
      <c r="AB18" s="5">
        <v>84916</v>
      </c>
      <c r="AC18" s="5">
        <v>5371</v>
      </c>
      <c r="AD18" s="5">
        <v>2724</v>
      </c>
      <c r="AE18" s="6">
        <v>6.3</v>
      </c>
      <c r="AF18" s="6">
        <v>3.2</v>
      </c>
      <c r="AG18" s="5">
        <v>85255</v>
      </c>
      <c r="AH18" s="5">
        <v>3670</v>
      </c>
      <c r="AI18" s="6">
        <v>4.3</v>
      </c>
    </row>
    <row r="19" spans="1:35" x14ac:dyDescent="0.3">
      <c r="A19" t="s">
        <v>51</v>
      </c>
      <c r="B19" t="s">
        <v>69</v>
      </c>
      <c r="C19" s="5">
        <v>131521</v>
      </c>
      <c r="D19" s="5">
        <v>26364</v>
      </c>
      <c r="E19" s="5">
        <v>22393</v>
      </c>
      <c r="F19" s="6">
        <v>20</v>
      </c>
      <c r="G19" s="6">
        <v>17</v>
      </c>
      <c r="H19" s="5">
        <v>129547</v>
      </c>
      <c r="I19" s="5">
        <v>22550</v>
      </c>
      <c r="J19" s="5">
        <v>21871</v>
      </c>
      <c r="K19" s="6">
        <v>17.399999999999999</v>
      </c>
      <c r="L19" s="6">
        <v>16.899999999999999</v>
      </c>
      <c r="M19" s="5">
        <v>128605</v>
      </c>
      <c r="N19" s="5">
        <v>22308</v>
      </c>
      <c r="O19" s="5">
        <v>17929</v>
      </c>
      <c r="P19" s="6">
        <v>17.3</v>
      </c>
      <c r="Q19" s="6">
        <v>13.9</v>
      </c>
      <c r="R19" s="5">
        <v>133226</v>
      </c>
      <c r="S19" s="5">
        <v>23464</v>
      </c>
      <c r="T19" s="5">
        <v>18716</v>
      </c>
      <c r="U19" s="6">
        <v>17.600000000000001</v>
      </c>
      <c r="V19" s="6">
        <v>14</v>
      </c>
      <c r="W19" s="5">
        <v>134851</v>
      </c>
      <c r="X19" s="5">
        <v>21867</v>
      </c>
      <c r="Y19" s="5">
        <v>18174</v>
      </c>
      <c r="Z19" s="6">
        <v>16.2</v>
      </c>
      <c r="AA19" s="6">
        <v>13.5</v>
      </c>
      <c r="AB19" s="5">
        <v>136762</v>
      </c>
      <c r="AC19" s="5">
        <v>21745</v>
      </c>
      <c r="AD19" s="5">
        <v>16783</v>
      </c>
      <c r="AE19" s="6">
        <v>15.9</v>
      </c>
      <c r="AF19" s="6">
        <v>12.3</v>
      </c>
      <c r="AG19" s="5">
        <v>139972</v>
      </c>
      <c r="AH19" s="5">
        <v>21639</v>
      </c>
      <c r="AI19" s="6">
        <v>15.5</v>
      </c>
    </row>
    <row r="20" spans="1:35" x14ac:dyDescent="0.3">
      <c r="A20" t="s">
        <v>51</v>
      </c>
      <c r="B20" t="s">
        <v>70</v>
      </c>
      <c r="C20" s="5">
        <v>308194</v>
      </c>
      <c r="D20" s="5">
        <v>51821</v>
      </c>
      <c r="E20" s="5">
        <v>34055</v>
      </c>
      <c r="F20" s="6">
        <v>16.8</v>
      </c>
      <c r="G20" s="6">
        <v>11</v>
      </c>
      <c r="H20" s="5">
        <v>320206</v>
      </c>
      <c r="I20" s="5">
        <v>47209</v>
      </c>
      <c r="J20" s="5">
        <v>36154</v>
      </c>
      <c r="K20" s="6">
        <v>14.7</v>
      </c>
      <c r="L20" s="6">
        <v>11.3</v>
      </c>
      <c r="M20" s="5">
        <v>331167</v>
      </c>
      <c r="N20" s="5">
        <v>47946</v>
      </c>
      <c r="O20" s="5">
        <v>34950</v>
      </c>
      <c r="P20" s="6">
        <v>14.5</v>
      </c>
      <c r="Q20" s="6">
        <v>10.6</v>
      </c>
      <c r="R20" s="5">
        <v>342686</v>
      </c>
      <c r="S20" s="5">
        <v>47474</v>
      </c>
      <c r="T20" s="5">
        <v>35029</v>
      </c>
      <c r="U20" s="6">
        <v>13.9</v>
      </c>
      <c r="V20" s="6">
        <v>10.199999999999999</v>
      </c>
      <c r="W20" s="5">
        <v>354874</v>
      </c>
      <c r="X20" s="5">
        <v>47950</v>
      </c>
      <c r="Y20" s="5">
        <v>35520</v>
      </c>
      <c r="Z20" s="6">
        <v>13.5</v>
      </c>
      <c r="AA20" s="6">
        <v>10</v>
      </c>
      <c r="AB20" s="5">
        <v>367868</v>
      </c>
      <c r="AC20" s="5">
        <v>49315</v>
      </c>
      <c r="AD20" s="5">
        <v>33247</v>
      </c>
      <c r="AE20" s="6">
        <v>13.4</v>
      </c>
      <c r="AF20" s="6">
        <v>9</v>
      </c>
      <c r="AG20" s="5">
        <v>386385</v>
      </c>
      <c r="AH20" s="5">
        <v>52575</v>
      </c>
      <c r="AI20" s="6">
        <v>13.6</v>
      </c>
    </row>
    <row r="21" spans="1:35" x14ac:dyDescent="0.3">
      <c r="A21" t="s">
        <v>71</v>
      </c>
      <c r="B21" t="s">
        <v>52</v>
      </c>
      <c r="C21" s="5">
        <v>1416327</v>
      </c>
      <c r="D21" s="5">
        <v>204014</v>
      </c>
      <c r="E21" s="5">
        <v>157448</v>
      </c>
      <c r="F21" s="6">
        <v>14.4</v>
      </c>
      <c r="G21" s="6">
        <v>11.1</v>
      </c>
      <c r="H21" s="5">
        <v>1461453</v>
      </c>
      <c r="I21" s="5">
        <v>217009</v>
      </c>
      <c r="J21" s="5">
        <v>167851</v>
      </c>
      <c r="K21" s="6">
        <v>14.8</v>
      </c>
      <c r="L21" s="6">
        <v>11.5</v>
      </c>
      <c r="M21" s="5">
        <v>1477255</v>
      </c>
      <c r="N21" s="5">
        <v>200029</v>
      </c>
      <c r="O21" s="5">
        <v>151670</v>
      </c>
      <c r="P21" s="6">
        <v>13.5</v>
      </c>
      <c r="Q21" s="6">
        <v>10.3</v>
      </c>
      <c r="R21" s="5">
        <v>1506361</v>
      </c>
      <c r="S21" s="5">
        <v>195073</v>
      </c>
      <c r="T21" s="5">
        <v>150154</v>
      </c>
      <c r="U21" s="6">
        <v>12.9</v>
      </c>
      <c r="V21" s="6">
        <v>10</v>
      </c>
      <c r="W21" s="5">
        <v>1530152</v>
      </c>
      <c r="X21" s="5">
        <v>182462</v>
      </c>
      <c r="Y21" s="5">
        <v>156144</v>
      </c>
      <c r="Z21" s="6">
        <v>11.9</v>
      </c>
      <c r="AA21" s="6">
        <v>10.199999999999999</v>
      </c>
      <c r="AB21" s="5">
        <v>1529158</v>
      </c>
      <c r="AC21" s="5">
        <v>170586</v>
      </c>
      <c r="AD21" s="5">
        <v>150373</v>
      </c>
      <c r="AE21" s="6">
        <v>11.2</v>
      </c>
      <c r="AF21" s="6">
        <v>9.8000000000000007</v>
      </c>
      <c r="AG21" s="5">
        <v>1537220</v>
      </c>
      <c r="AH21" s="5">
        <v>171459</v>
      </c>
      <c r="AI21" s="6">
        <v>11.2</v>
      </c>
    </row>
    <row r="22" spans="1:35" x14ac:dyDescent="0.3">
      <c r="A22" t="s">
        <v>71</v>
      </c>
      <c r="B22" t="s">
        <v>53</v>
      </c>
      <c r="C22" s="5">
        <v>175</v>
      </c>
      <c r="D22" s="5">
        <v>44</v>
      </c>
      <c r="E22" s="5">
        <v>29</v>
      </c>
      <c r="F22" s="6">
        <v>25.1</v>
      </c>
      <c r="G22" s="6">
        <v>16.600000000000001</v>
      </c>
      <c r="H22" s="5">
        <v>181</v>
      </c>
      <c r="I22" s="5">
        <v>38</v>
      </c>
      <c r="J22" s="5">
        <v>36</v>
      </c>
      <c r="K22" s="6">
        <v>21</v>
      </c>
      <c r="L22" s="6">
        <v>19.899999999999999</v>
      </c>
      <c r="M22" s="5">
        <v>215</v>
      </c>
      <c r="N22" s="5">
        <v>66</v>
      </c>
      <c r="O22" s="5">
        <v>29</v>
      </c>
      <c r="P22" s="6">
        <v>30.7</v>
      </c>
      <c r="Q22" s="6">
        <v>13.5</v>
      </c>
      <c r="R22" s="5">
        <v>229</v>
      </c>
      <c r="S22" s="5">
        <v>57</v>
      </c>
      <c r="T22" s="5">
        <v>54</v>
      </c>
      <c r="U22" s="6">
        <v>24.9</v>
      </c>
      <c r="V22" s="6">
        <v>23.6</v>
      </c>
      <c r="W22" s="5">
        <v>228</v>
      </c>
      <c r="X22" s="5">
        <v>58</v>
      </c>
      <c r="Y22" s="5">
        <v>29</v>
      </c>
      <c r="Z22" s="6">
        <v>25.4</v>
      </c>
      <c r="AA22" s="6">
        <v>12.7</v>
      </c>
      <c r="AB22" s="5">
        <v>274</v>
      </c>
      <c r="AC22" s="5">
        <v>71</v>
      </c>
      <c r="AD22" s="5">
        <v>46</v>
      </c>
      <c r="AE22" s="6">
        <v>25.9</v>
      </c>
      <c r="AF22" s="6">
        <v>16.8</v>
      </c>
      <c r="AG22" s="5">
        <v>303</v>
      </c>
      <c r="AH22" s="5">
        <v>65</v>
      </c>
      <c r="AI22" s="6">
        <v>21.5</v>
      </c>
    </row>
    <row r="23" spans="1:35" x14ac:dyDescent="0.3">
      <c r="A23" t="s">
        <v>71</v>
      </c>
      <c r="B23" t="s">
        <v>54</v>
      </c>
      <c r="C23" s="5">
        <v>40</v>
      </c>
      <c r="D23" s="5">
        <v>6</v>
      </c>
      <c r="E23" s="5">
        <v>3</v>
      </c>
      <c r="F23" s="6">
        <v>15</v>
      </c>
      <c r="G23" s="6">
        <v>7.5</v>
      </c>
      <c r="H23" s="5">
        <v>39</v>
      </c>
      <c r="I23" s="5">
        <v>3</v>
      </c>
      <c r="J23" s="5">
        <v>8</v>
      </c>
      <c r="K23" s="6">
        <v>7.7</v>
      </c>
      <c r="L23" s="6">
        <v>20.5</v>
      </c>
      <c r="M23" s="5">
        <v>37</v>
      </c>
      <c r="N23" s="5">
        <v>9</v>
      </c>
      <c r="O23" s="5">
        <v>4</v>
      </c>
      <c r="P23" s="6">
        <v>24.3</v>
      </c>
      <c r="Q23" s="6">
        <v>10.8</v>
      </c>
      <c r="R23" s="5">
        <v>36</v>
      </c>
      <c r="S23" s="5">
        <v>3</v>
      </c>
      <c r="T23" s="5">
        <v>6</v>
      </c>
      <c r="U23" s="6">
        <v>8.3000000000000007</v>
      </c>
      <c r="V23" s="6">
        <v>16.7</v>
      </c>
      <c r="W23" s="5">
        <v>31</v>
      </c>
      <c r="X23" s="5">
        <v>1</v>
      </c>
      <c r="Y23" s="5">
        <v>5</v>
      </c>
      <c r="Z23" s="6">
        <v>3.2</v>
      </c>
      <c r="AA23" s="6">
        <v>16.100000000000001</v>
      </c>
      <c r="AB23" s="5">
        <v>28</v>
      </c>
      <c r="AC23" s="5">
        <v>2</v>
      </c>
      <c r="AD23" s="5">
        <v>3</v>
      </c>
      <c r="AE23" s="6">
        <v>7.1</v>
      </c>
      <c r="AF23" s="6">
        <v>10.7</v>
      </c>
      <c r="AG23" s="5">
        <v>26</v>
      </c>
      <c r="AH23" s="5">
        <v>1</v>
      </c>
      <c r="AI23" s="6">
        <v>3.8</v>
      </c>
    </row>
    <row r="24" spans="1:35" x14ac:dyDescent="0.3">
      <c r="A24" t="s">
        <v>71</v>
      </c>
      <c r="B24" t="s">
        <v>55</v>
      </c>
      <c r="C24" s="5">
        <v>74747</v>
      </c>
      <c r="D24" s="5">
        <v>6329</v>
      </c>
      <c r="E24" s="5">
        <v>5455</v>
      </c>
      <c r="F24" s="6">
        <v>8.5</v>
      </c>
      <c r="G24" s="6">
        <v>7.3</v>
      </c>
      <c r="H24" s="5">
        <v>75323</v>
      </c>
      <c r="I24" s="5">
        <v>6773</v>
      </c>
      <c r="J24" s="5">
        <v>5133</v>
      </c>
      <c r="K24" s="6">
        <v>9</v>
      </c>
      <c r="L24" s="6">
        <v>6.8</v>
      </c>
      <c r="M24" s="5">
        <v>75973</v>
      </c>
      <c r="N24" s="5">
        <v>6571</v>
      </c>
      <c r="O24" s="5">
        <v>4946</v>
      </c>
      <c r="P24" s="6">
        <v>8.6</v>
      </c>
      <c r="Q24" s="6">
        <v>6.5</v>
      </c>
      <c r="R24" s="5">
        <v>75161</v>
      </c>
      <c r="S24" s="5">
        <v>5087</v>
      </c>
      <c r="T24" s="5">
        <v>5404</v>
      </c>
      <c r="U24" s="6">
        <v>6.8</v>
      </c>
      <c r="V24" s="6">
        <v>7.2</v>
      </c>
      <c r="W24" s="5">
        <v>73563</v>
      </c>
      <c r="X24" s="5">
        <v>4431</v>
      </c>
      <c r="Y24" s="5">
        <v>5538</v>
      </c>
      <c r="Z24" s="6">
        <v>6</v>
      </c>
      <c r="AA24" s="6">
        <v>7.5</v>
      </c>
      <c r="AB24" s="5">
        <v>71130</v>
      </c>
      <c r="AC24" s="5">
        <v>3793</v>
      </c>
      <c r="AD24" s="5">
        <v>5274</v>
      </c>
      <c r="AE24" s="6">
        <v>5.3</v>
      </c>
      <c r="AF24" s="6">
        <v>7.4</v>
      </c>
      <c r="AG24" s="5">
        <v>69185</v>
      </c>
      <c r="AH24" s="5">
        <v>3791</v>
      </c>
      <c r="AI24" s="6">
        <v>5.5</v>
      </c>
    </row>
    <row r="25" spans="1:35" x14ac:dyDescent="0.3">
      <c r="A25" t="s">
        <v>71</v>
      </c>
      <c r="B25" t="s">
        <v>56</v>
      </c>
      <c r="C25" s="5">
        <v>631</v>
      </c>
      <c r="D25" s="5">
        <v>167</v>
      </c>
      <c r="E25" s="5">
        <v>30</v>
      </c>
      <c r="F25" s="6">
        <v>26.5</v>
      </c>
      <c r="G25" s="6">
        <v>4.8</v>
      </c>
      <c r="H25" s="5">
        <v>746</v>
      </c>
      <c r="I25" s="5">
        <v>132</v>
      </c>
      <c r="J25" s="5">
        <v>38</v>
      </c>
      <c r="K25" s="6">
        <v>17.7</v>
      </c>
      <c r="L25" s="6">
        <v>5.0999999999999996</v>
      </c>
      <c r="M25" s="5">
        <v>804</v>
      </c>
      <c r="N25" s="5">
        <v>89</v>
      </c>
      <c r="O25" s="5">
        <v>27</v>
      </c>
      <c r="P25" s="6">
        <v>11.1</v>
      </c>
      <c r="Q25" s="6">
        <v>3.4</v>
      </c>
      <c r="R25" s="5">
        <v>908</v>
      </c>
      <c r="S25" s="5">
        <v>101</v>
      </c>
      <c r="T25" s="5">
        <v>28</v>
      </c>
      <c r="U25" s="6">
        <v>11.1</v>
      </c>
      <c r="V25" s="6">
        <v>3.1</v>
      </c>
      <c r="W25" s="5">
        <v>953</v>
      </c>
      <c r="X25" s="5">
        <v>58</v>
      </c>
      <c r="Y25" s="5">
        <v>34</v>
      </c>
      <c r="Z25" s="6">
        <v>6.1</v>
      </c>
      <c r="AA25" s="6">
        <v>3.6</v>
      </c>
      <c r="AB25" s="5">
        <v>1038</v>
      </c>
      <c r="AC25" s="5">
        <v>98</v>
      </c>
      <c r="AD25" s="5">
        <v>37</v>
      </c>
      <c r="AE25" s="6">
        <v>9.4</v>
      </c>
      <c r="AF25" s="6">
        <v>3.6</v>
      </c>
      <c r="AG25" s="5">
        <v>1096</v>
      </c>
      <c r="AH25" s="5">
        <v>82</v>
      </c>
      <c r="AI25" s="6">
        <v>7.5</v>
      </c>
    </row>
    <row r="26" spans="1:35" x14ac:dyDescent="0.3">
      <c r="A26" t="s">
        <v>71</v>
      </c>
      <c r="B26" t="s">
        <v>57</v>
      </c>
      <c r="C26" s="5">
        <v>525</v>
      </c>
      <c r="D26" s="5">
        <v>41</v>
      </c>
      <c r="E26" s="5">
        <v>22</v>
      </c>
      <c r="F26" s="6">
        <v>7.8</v>
      </c>
      <c r="G26" s="6">
        <v>4.2</v>
      </c>
      <c r="H26" s="5">
        <v>547</v>
      </c>
      <c r="I26" s="5">
        <v>47</v>
      </c>
      <c r="J26" s="5">
        <v>19</v>
      </c>
      <c r="K26" s="6">
        <v>8.6</v>
      </c>
      <c r="L26" s="6">
        <v>3.5</v>
      </c>
      <c r="M26" s="5">
        <v>562</v>
      </c>
      <c r="N26" s="5">
        <v>38</v>
      </c>
      <c r="O26" s="5">
        <v>26</v>
      </c>
      <c r="P26" s="6">
        <v>6.8</v>
      </c>
      <c r="Q26" s="6">
        <v>4.5999999999999996</v>
      </c>
      <c r="R26" s="5">
        <v>618</v>
      </c>
      <c r="S26" s="5">
        <v>78</v>
      </c>
      <c r="T26" s="5">
        <v>33</v>
      </c>
      <c r="U26" s="6">
        <v>12.6</v>
      </c>
      <c r="V26" s="6">
        <v>5.3</v>
      </c>
      <c r="W26" s="5">
        <v>611</v>
      </c>
      <c r="X26" s="5">
        <v>36</v>
      </c>
      <c r="Y26" s="5">
        <v>27</v>
      </c>
      <c r="Z26" s="6">
        <v>5.9</v>
      </c>
      <c r="AA26" s="6">
        <v>4.4000000000000004</v>
      </c>
      <c r="AB26" s="5">
        <v>617</v>
      </c>
      <c r="AC26" s="5">
        <v>43</v>
      </c>
      <c r="AD26" s="5">
        <v>41</v>
      </c>
      <c r="AE26" s="6">
        <v>7</v>
      </c>
      <c r="AF26" s="6">
        <v>6.6</v>
      </c>
      <c r="AG26" s="5">
        <v>610</v>
      </c>
      <c r="AH26" s="5">
        <v>37</v>
      </c>
      <c r="AI26" s="6">
        <v>6.1</v>
      </c>
    </row>
    <row r="27" spans="1:35" x14ac:dyDescent="0.3">
      <c r="A27" t="s">
        <v>71</v>
      </c>
      <c r="B27" t="s">
        <v>58</v>
      </c>
      <c r="C27" s="5">
        <v>64631</v>
      </c>
      <c r="D27" s="5">
        <v>6903</v>
      </c>
      <c r="E27" s="5">
        <v>4621</v>
      </c>
      <c r="F27" s="6">
        <v>10.7</v>
      </c>
      <c r="G27" s="6">
        <v>7.1</v>
      </c>
      <c r="H27" s="5">
        <v>66204</v>
      </c>
      <c r="I27" s="5">
        <v>6934</v>
      </c>
      <c r="J27" s="5">
        <v>4251</v>
      </c>
      <c r="K27" s="6">
        <v>10.5</v>
      </c>
      <c r="L27" s="6">
        <v>6.4</v>
      </c>
      <c r="M27" s="5">
        <v>68463</v>
      </c>
      <c r="N27" s="5">
        <v>6917</v>
      </c>
      <c r="O27" s="5">
        <v>4608</v>
      </c>
      <c r="P27" s="6">
        <v>10.1</v>
      </c>
      <c r="Q27" s="6">
        <v>6.7</v>
      </c>
      <c r="R27" s="5">
        <v>69277</v>
      </c>
      <c r="S27" s="5">
        <v>5975</v>
      </c>
      <c r="T27" s="5">
        <v>4729</v>
      </c>
      <c r="U27" s="6">
        <v>8.6</v>
      </c>
      <c r="V27" s="6">
        <v>6.8</v>
      </c>
      <c r="W27" s="5">
        <v>69515</v>
      </c>
      <c r="X27" s="5">
        <v>5651</v>
      </c>
      <c r="Y27" s="5">
        <v>4965</v>
      </c>
      <c r="Z27" s="6">
        <v>8.1</v>
      </c>
      <c r="AA27" s="6">
        <v>7.1</v>
      </c>
      <c r="AB27" s="5">
        <v>68771</v>
      </c>
      <c r="AC27" s="5">
        <v>5279</v>
      </c>
      <c r="AD27" s="5">
        <v>5081</v>
      </c>
      <c r="AE27" s="6">
        <v>7.7</v>
      </c>
      <c r="AF27" s="6">
        <v>7.4</v>
      </c>
      <c r="AG27" s="5">
        <v>67225</v>
      </c>
      <c r="AH27" s="5">
        <v>4825</v>
      </c>
      <c r="AI27" s="6">
        <v>7.2</v>
      </c>
    </row>
    <row r="28" spans="1:35" x14ac:dyDescent="0.3">
      <c r="A28" t="s">
        <v>71</v>
      </c>
      <c r="B28" t="s">
        <v>59</v>
      </c>
      <c r="C28" s="5">
        <v>325627</v>
      </c>
      <c r="D28" s="5">
        <v>42924</v>
      </c>
      <c r="E28" s="5">
        <v>36719</v>
      </c>
      <c r="F28" s="6">
        <v>13.2</v>
      </c>
      <c r="G28" s="6">
        <v>11.3</v>
      </c>
      <c r="H28" s="5">
        <v>333926</v>
      </c>
      <c r="I28" s="5">
        <v>49615</v>
      </c>
      <c r="J28" s="5">
        <v>39168</v>
      </c>
      <c r="K28" s="6">
        <v>14.9</v>
      </c>
      <c r="L28" s="6">
        <v>11.7</v>
      </c>
      <c r="M28" s="5">
        <v>338003</v>
      </c>
      <c r="N28" s="5">
        <v>48050</v>
      </c>
      <c r="O28" s="5">
        <v>38464</v>
      </c>
      <c r="P28" s="6">
        <v>14.2</v>
      </c>
      <c r="Q28" s="6">
        <v>11.4</v>
      </c>
      <c r="R28" s="5">
        <v>342921</v>
      </c>
      <c r="S28" s="5">
        <v>47312</v>
      </c>
      <c r="T28" s="5">
        <v>39947</v>
      </c>
      <c r="U28" s="6">
        <v>13.8</v>
      </c>
      <c r="V28" s="6">
        <v>11.6</v>
      </c>
      <c r="W28" s="5">
        <v>344302</v>
      </c>
      <c r="X28" s="5">
        <v>45901</v>
      </c>
      <c r="Y28" s="5">
        <v>42840</v>
      </c>
      <c r="Z28" s="6">
        <v>13.3</v>
      </c>
      <c r="AA28" s="6">
        <v>12.4</v>
      </c>
      <c r="AB28" s="5">
        <v>339747</v>
      </c>
      <c r="AC28" s="5">
        <v>43482</v>
      </c>
      <c r="AD28" s="5">
        <v>40855</v>
      </c>
      <c r="AE28" s="6">
        <v>12.8</v>
      </c>
      <c r="AF28" s="6">
        <v>12</v>
      </c>
      <c r="AG28" s="5">
        <v>340042</v>
      </c>
      <c r="AH28" s="5">
        <v>45422</v>
      </c>
      <c r="AI28" s="6">
        <v>13.4</v>
      </c>
    </row>
    <row r="29" spans="1:35" x14ac:dyDescent="0.3">
      <c r="A29" t="s">
        <v>71</v>
      </c>
      <c r="B29" t="s">
        <v>60</v>
      </c>
      <c r="C29" s="5">
        <v>90600</v>
      </c>
      <c r="D29" s="5">
        <v>12862</v>
      </c>
      <c r="E29" s="5">
        <v>13505</v>
      </c>
      <c r="F29" s="6">
        <v>14.2</v>
      </c>
      <c r="G29" s="6">
        <v>14.9</v>
      </c>
      <c r="H29" s="5">
        <v>83222</v>
      </c>
      <c r="I29" s="5">
        <v>7779</v>
      </c>
      <c r="J29" s="5">
        <v>15396</v>
      </c>
      <c r="K29" s="6">
        <v>9.3000000000000007</v>
      </c>
      <c r="L29" s="6">
        <v>18.5</v>
      </c>
      <c r="M29" s="5">
        <v>75192</v>
      </c>
      <c r="N29" s="5">
        <v>9105</v>
      </c>
      <c r="O29" s="5">
        <v>7030</v>
      </c>
      <c r="P29" s="6">
        <v>12.1</v>
      </c>
      <c r="Q29" s="6">
        <v>9.3000000000000007</v>
      </c>
      <c r="R29" s="5">
        <v>85441</v>
      </c>
      <c r="S29" s="5">
        <v>17266</v>
      </c>
      <c r="T29" s="5">
        <v>8019</v>
      </c>
      <c r="U29" s="6">
        <v>20.2</v>
      </c>
      <c r="V29" s="6">
        <v>9.4</v>
      </c>
      <c r="W29" s="5">
        <v>90354</v>
      </c>
      <c r="X29" s="5">
        <v>13063</v>
      </c>
      <c r="Y29" s="5">
        <v>8987</v>
      </c>
      <c r="Z29" s="6">
        <v>14.5</v>
      </c>
      <c r="AA29" s="6">
        <v>9.9</v>
      </c>
      <c r="AB29" s="5">
        <v>91121</v>
      </c>
      <c r="AC29" s="5">
        <v>10381</v>
      </c>
      <c r="AD29" s="5">
        <v>9807</v>
      </c>
      <c r="AE29" s="6">
        <v>11.4</v>
      </c>
      <c r="AF29" s="6">
        <v>10.8</v>
      </c>
      <c r="AG29" s="5">
        <v>90610</v>
      </c>
      <c r="AH29" s="5">
        <v>9998</v>
      </c>
      <c r="AI29" s="6">
        <v>11</v>
      </c>
    </row>
    <row r="30" spans="1:35" x14ac:dyDescent="0.3">
      <c r="A30" t="s">
        <v>71</v>
      </c>
      <c r="B30" t="s">
        <v>61</v>
      </c>
      <c r="C30" s="5">
        <v>145485</v>
      </c>
      <c r="D30" s="5">
        <v>25115</v>
      </c>
      <c r="E30" s="5">
        <v>21487</v>
      </c>
      <c r="F30" s="6">
        <v>17.3</v>
      </c>
      <c r="G30" s="6">
        <v>14.8</v>
      </c>
      <c r="H30" s="5">
        <v>144805</v>
      </c>
      <c r="I30" s="5">
        <v>23016</v>
      </c>
      <c r="J30" s="5">
        <v>21155</v>
      </c>
      <c r="K30" s="6">
        <v>15.9</v>
      </c>
      <c r="L30" s="6">
        <v>14.6</v>
      </c>
      <c r="M30" s="5">
        <v>143383</v>
      </c>
      <c r="N30" s="5">
        <v>21981</v>
      </c>
      <c r="O30" s="5">
        <v>18712</v>
      </c>
      <c r="P30" s="6">
        <v>15.3</v>
      </c>
      <c r="Q30" s="6">
        <v>13.1</v>
      </c>
      <c r="R30" s="5">
        <v>144383</v>
      </c>
      <c r="S30" s="5">
        <v>21336</v>
      </c>
      <c r="T30" s="5">
        <v>19022</v>
      </c>
      <c r="U30" s="6">
        <v>14.8</v>
      </c>
      <c r="V30" s="6">
        <v>13.2</v>
      </c>
      <c r="W30" s="5">
        <v>147924</v>
      </c>
      <c r="X30" s="5">
        <v>24013</v>
      </c>
      <c r="Y30" s="5">
        <v>20967</v>
      </c>
      <c r="Z30" s="6">
        <v>16.2</v>
      </c>
      <c r="AA30" s="6">
        <v>14.2</v>
      </c>
      <c r="AB30" s="5">
        <v>148226</v>
      </c>
      <c r="AC30" s="5">
        <v>23039</v>
      </c>
      <c r="AD30" s="5">
        <v>20376</v>
      </c>
      <c r="AE30" s="6">
        <v>15.5</v>
      </c>
      <c r="AF30" s="6">
        <v>13.7</v>
      </c>
      <c r="AG30" s="5">
        <v>147437</v>
      </c>
      <c r="AH30" s="5">
        <v>21493</v>
      </c>
      <c r="AI30" s="6">
        <v>14.6</v>
      </c>
    </row>
    <row r="31" spans="1:35" x14ac:dyDescent="0.3">
      <c r="A31" t="s">
        <v>71</v>
      </c>
      <c r="B31" t="s">
        <v>62</v>
      </c>
      <c r="C31" s="5">
        <v>50018</v>
      </c>
      <c r="D31" s="5">
        <v>8118</v>
      </c>
      <c r="E31" s="5">
        <v>4552</v>
      </c>
      <c r="F31" s="6">
        <v>16.2</v>
      </c>
      <c r="G31" s="6">
        <v>9.1</v>
      </c>
      <c r="H31" s="5">
        <v>54098</v>
      </c>
      <c r="I31" s="5">
        <v>8951</v>
      </c>
      <c r="J31" s="5">
        <v>4978</v>
      </c>
      <c r="K31" s="6">
        <v>16.5</v>
      </c>
      <c r="L31" s="6">
        <v>9.1999999999999993</v>
      </c>
      <c r="M31" s="5">
        <v>58564</v>
      </c>
      <c r="N31" s="5">
        <v>9835</v>
      </c>
      <c r="O31" s="5">
        <v>5253</v>
      </c>
      <c r="P31" s="6">
        <v>16.8</v>
      </c>
      <c r="Q31" s="6">
        <v>9</v>
      </c>
      <c r="R31" s="5">
        <v>62503</v>
      </c>
      <c r="S31" s="5">
        <v>9587</v>
      </c>
      <c r="T31" s="5">
        <v>6072</v>
      </c>
      <c r="U31" s="6">
        <v>15.3</v>
      </c>
      <c r="V31" s="6">
        <v>9.6999999999999993</v>
      </c>
      <c r="W31" s="5">
        <v>64471</v>
      </c>
      <c r="X31" s="5">
        <v>9036</v>
      </c>
      <c r="Y31" s="5">
        <v>6317</v>
      </c>
      <c r="Z31" s="6">
        <v>14</v>
      </c>
      <c r="AA31" s="6">
        <v>9.8000000000000007</v>
      </c>
      <c r="AB31" s="5">
        <v>65987</v>
      </c>
      <c r="AC31" s="5">
        <v>8786</v>
      </c>
      <c r="AD31" s="5">
        <v>6513</v>
      </c>
      <c r="AE31" s="6">
        <v>13.3</v>
      </c>
      <c r="AF31" s="6">
        <v>9.9</v>
      </c>
      <c r="AG31" s="5">
        <v>68426</v>
      </c>
      <c r="AH31" s="5">
        <v>9771</v>
      </c>
      <c r="AI31" s="6">
        <v>14.3</v>
      </c>
    </row>
    <row r="32" spans="1:35" x14ac:dyDescent="0.3">
      <c r="A32" t="s">
        <v>71</v>
      </c>
      <c r="B32" t="s">
        <v>63</v>
      </c>
      <c r="C32" s="5">
        <v>10909</v>
      </c>
      <c r="D32" s="5">
        <v>1844</v>
      </c>
      <c r="E32" s="5">
        <v>1384</v>
      </c>
      <c r="F32" s="6">
        <v>16.899999999999999</v>
      </c>
      <c r="G32" s="6">
        <v>12.7</v>
      </c>
      <c r="H32" s="5">
        <v>11174</v>
      </c>
      <c r="I32" s="5">
        <v>1779</v>
      </c>
      <c r="J32" s="5">
        <v>1531</v>
      </c>
      <c r="K32" s="6">
        <v>15.9</v>
      </c>
      <c r="L32" s="6">
        <v>13.7</v>
      </c>
      <c r="M32" s="5">
        <v>11583</v>
      </c>
      <c r="N32" s="5">
        <v>2038</v>
      </c>
      <c r="O32" s="5">
        <v>1191</v>
      </c>
      <c r="P32" s="6">
        <v>17.600000000000001</v>
      </c>
      <c r="Q32" s="6">
        <v>10.3</v>
      </c>
      <c r="R32" s="5">
        <v>11417</v>
      </c>
      <c r="S32" s="5">
        <v>1526</v>
      </c>
      <c r="T32" s="5">
        <v>1104</v>
      </c>
      <c r="U32" s="6">
        <v>13.4</v>
      </c>
      <c r="V32" s="6">
        <v>9.6999999999999993</v>
      </c>
      <c r="W32" s="5">
        <v>17309</v>
      </c>
      <c r="X32" s="5">
        <v>1704</v>
      </c>
      <c r="Y32" s="5">
        <v>1256</v>
      </c>
      <c r="Z32" s="6">
        <v>9.8000000000000007</v>
      </c>
      <c r="AA32" s="6">
        <v>7.3</v>
      </c>
      <c r="AB32" s="5">
        <v>16990</v>
      </c>
      <c r="AC32" s="5">
        <v>1646</v>
      </c>
      <c r="AD32" s="5">
        <v>1188</v>
      </c>
      <c r="AE32" s="6">
        <v>9.6999999999999993</v>
      </c>
      <c r="AF32" s="6">
        <v>7</v>
      </c>
      <c r="AG32" s="5">
        <v>17414</v>
      </c>
      <c r="AH32" s="5">
        <v>1647</v>
      </c>
      <c r="AI32" s="6">
        <v>9.5</v>
      </c>
    </row>
    <row r="33" spans="1:35" x14ac:dyDescent="0.3">
      <c r="A33" t="s">
        <v>71</v>
      </c>
      <c r="B33" t="s">
        <v>64</v>
      </c>
      <c r="C33" s="5">
        <v>408948</v>
      </c>
      <c r="D33" s="5">
        <v>61780</v>
      </c>
      <c r="E33" s="5">
        <v>43170</v>
      </c>
      <c r="F33" s="6">
        <v>15.1</v>
      </c>
      <c r="G33" s="6">
        <v>10.6</v>
      </c>
      <c r="H33" s="5">
        <v>437651</v>
      </c>
      <c r="I33" s="5">
        <v>73523</v>
      </c>
      <c r="J33" s="5">
        <v>48758</v>
      </c>
      <c r="K33" s="6">
        <v>16.8</v>
      </c>
      <c r="L33" s="6">
        <v>11.1</v>
      </c>
      <c r="M33" s="5">
        <v>442214</v>
      </c>
      <c r="N33" s="5">
        <v>56682</v>
      </c>
      <c r="O33" s="5">
        <v>46450</v>
      </c>
      <c r="P33" s="6">
        <v>12.8</v>
      </c>
      <c r="Q33" s="6">
        <v>10.5</v>
      </c>
      <c r="R33" s="5">
        <v>440052</v>
      </c>
      <c r="S33" s="5">
        <v>48643</v>
      </c>
      <c r="T33" s="5">
        <v>38376</v>
      </c>
      <c r="U33" s="6">
        <v>11.1</v>
      </c>
      <c r="V33" s="6">
        <v>8.6999999999999993</v>
      </c>
      <c r="W33" s="5">
        <v>440385</v>
      </c>
      <c r="X33" s="5">
        <v>41498</v>
      </c>
      <c r="Y33" s="5">
        <v>37312</v>
      </c>
      <c r="Z33" s="6">
        <v>9.4</v>
      </c>
      <c r="AA33" s="6">
        <v>8.5</v>
      </c>
      <c r="AB33" s="5">
        <v>437793</v>
      </c>
      <c r="AC33" s="5">
        <v>36591</v>
      </c>
      <c r="AD33" s="5">
        <v>33918</v>
      </c>
      <c r="AE33" s="6">
        <v>8.4</v>
      </c>
      <c r="AF33" s="6">
        <v>7.7</v>
      </c>
      <c r="AG33" s="5">
        <v>436893</v>
      </c>
      <c r="AH33" s="5">
        <v>34528</v>
      </c>
      <c r="AI33" s="6">
        <v>7.9</v>
      </c>
    </row>
    <row r="34" spans="1:35" x14ac:dyDescent="0.3">
      <c r="A34" t="s">
        <v>71</v>
      </c>
      <c r="B34" t="s">
        <v>65</v>
      </c>
      <c r="C34" s="5">
        <v>73832</v>
      </c>
      <c r="D34" s="5">
        <v>11410</v>
      </c>
      <c r="E34" s="5">
        <v>6587</v>
      </c>
      <c r="F34" s="6">
        <v>15.5</v>
      </c>
      <c r="G34" s="6">
        <v>8.9</v>
      </c>
      <c r="H34" s="5">
        <v>79320</v>
      </c>
      <c r="I34" s="5">
        <v>12645</v>
      </c>
      <c r="J34" s="5">
        <v>6974</v>
      </c>
      <c r="K34" s="6">
        <v>15.9</v>
      </c>
      <c r="L34" s="6">
        <v>8.8000000000000007</v>
      </c>
      <c r="M34" s="5">
        <v>85182</v>
      </c>
      <c r="N34" s="5">
        <v>13656</v>
      </c>
      <c r="O34" s="5">
        <v>7329</v>
      </c>
      <c r="P34" s="6">
        <v>16</v>
      </c>
      <c r="Q34" s="6">
        <v>8.6</v>
      </c>
      <c r="R34" s="5">
        <v>90100</v>
      </c>
      <c r="S34" s="5">
        <v>12929</v>
      </c>
      <c r="T34" s="5">
        <v>8256</v>
      </c>
      <c r="U34" s="6">
        <v>14.3</v>
      </c>
      <c r="V34" s="6">
        <v>9.1999999999999993</v>
      </c>
      <c r="W34" s="5">
        <v>93045</v>
      </c>
      <c r="X34" s="5">
        <v>12259</v>
      </c>
      <c r="Y34" s="5">
        <v>8705</v>
      </c>
      <c r="Z34" s="6">
        <v>13.2</v>
      </c>
      <c r="AA34" s="6">
        <v>9.4</v>
      </c>
      <c r="AB34" s="5">
        <v>95663</v>
      </c>
      <c r="AC34" s="5">
        <v>12285</v>
      </c>
      <c r="AD34" s="5">
        <v>8667</v>
      </c>
      <c r="AE34" s="6">
        <v>12.8</v>
      </c>
      <c r="AF34" s="6">
        <v>9.1</v>
      </c>
      <c r="AG34" s="5">
        <v>99832</v>
      </c>
      <c r="AH34" s="5">
        <v>13435</v>
      </c>
      <c r="AI34" s="6">
        <v>13.5</v>
      </c>
    </row>
    <row r="35" spans="1:35" x14ac:dyDescent="0.3">
      <c r="A35" t="s">
        <v>71</v>
      </c>
      <c r="B35" t="s">
        <v>66</v>
      </c>
      <c r="C35" s="5">
        <v>30942</v>
      </c>
      <c r="D35" s="5">
        <v>4781</v>
      </c>
      <c r="E35" s="5">
        <v>3732</v>
      </c>
      <c r="F35" s="6">
        <v>15.5</v>
      </c>
      <c r="G35" s="6">
        <v>12.1</v>
      </c>
      <c r="H35" s="5">
        <v>32519</v>
      </c>
      <c r="I35" s="5">
        <v>5680</v>
      </c>
      <c r="J35" s="5">
        <v>4383</v>
      </c>
      <c r="K35" s="6">
        <v>17.5</v>
      </c>
      <c r="L35" s="6">
        <v>13.5</v>
      </c>
      <c r="M35" s="5">
        <v>32211</v>
      </c>
      <c r="N35" s="5">
        <v>4575</v>
      </c>
      <c r="O35" s="5">
        <v>3280</v>
      </c>
      <c r="P35" s="6">
        <v>14.2</v>
      </c>
      <c r="Q35" s="6">
        <v>10.199999999999999</v>
      </c>
      <c r="R35" s="5">
        <v>33415</v>
      </c>
      <c r="S35" s="5">
        <v>4861</v>
      </c>
      <c r="T35" s="5">
        <v>3400</v>
      </c>
      <c r="U35" s="6">
        <v>14.5</v>
      </c>
      <c r="V35" s="6">
        <v>10.199999999999999</v>
      </c>
      <c r="W35" s="5">
        <v>34414</v>
      </c>
      <c r="X35" s="5">
        <v>4758</v>
      </c>
      <c r="Y35" s="5">
        <v>3639</v>
      </c>
      <c r="Z35" s="6">
        <v>13.8</v>
      </c>
      <c r="AA35" s="6">
        <v>10.6</v>
      </c>
      <c r="AB35" s="5">
        <v>34847</v>
      </c>
      <c r="AC35" s="5">
        <v>4508</v>
      </c>
      <c r="AD35" s="5">
        <v>3549</v>
      </c>
      <c r="AE35" s="6">
        <v>12.9</v>
      </c>
      <c r="AF35" s="6">
        <v>10.199999999999999</v>
      </c>
      <c r="AG35" s="5">
        <v>35627</v>
      </c>
      <c r="AH35" s="5">
        <v>4651</v>
      </c>
      <c r="AI35" s="6">
        <v>13.1</v>
      </c>
    </row>
    <row r="36" spans="1:35" x14ac:dyDescent="0.3">
      <c r="A36" t="s">
        <v>71</v>
      </c>
      <c r="B36" t="s">
        <v>67</v>
      </c>
      <c r="C36" s="5">
        <v>35206</v>
      </c>
      <c r="D36" s="5">
        <v>6532</v>
      </c>
      <c r="E36" s="5">
        <v>4833</v>
      </c>
      <c r="F36" s="6">
        <v>18.600000000000001</v>
      </c>
      <c r="G36" s="6">
        <v>13.7</v>
      </c>
      <c r="H36" s="5">
        <v>36585</v>
      </c>
      <c r="I36" s="5">
        <v>6508</v>
      </c>
      <c r="J36" s="5">
        <v>4491</v>
      </c>
      <c r="K36" s="6">
        <v>17.8</v>
      </c>
      <c r="L36" s="6">
        <v>12.3</v>
      </c>
      <c r="M36" s="5">
        <v>38629</v>
      </c>
      <c r="N36" s="5">
        <v>6764</v>
      </c>
      <c r="O36" s="5">
        <v>4091</v>
      </c>
      <c r="P36" s="6">
        <v>17.5</v>
      </c>
      <c r="Q36" s="6">
        <v>10.6</v>
      </c>
      <c r="R36" s="5">
        <v>41057</v>
      </c>
      <c r="S36" s="5">
        <v>6642</v>
      </c>
      <c r="T36" s="5">
        <v>5121</v>
      </c>
      <c r="U36" s="6">
        <v>16.2</v>
      </c>
      <c r="V36" s="6">
        <v>12.5</v>
      </c>
      <c r="W36" s="5">
        <v>42122</v>
      </c>
      <c r="X36" s="5">
        <v>6473</v>
      </c>
      <c r="Y36" s="5">
        <v>5234</v>
      </c>
      <c r="Z36" s="6">
        <v>15.4</v>
      </c>
      <c r="AA36" s="6">
        <v>12.4</v>
      </c>
      <c r="AB36" s="5">
        <v>43296</v>
      </c>
      <c r="AC36" s="5">
        <v>6783</v>
      </c>
      <c r="AD36" s="5">
        <v>5159</v>
      </c>
      <c r="AE36" s="6">
        <v>15.7</v>
      </c>
      <c r="AF36" s="6">
        <v>11.9</v>
      </c>
      <c r="AG36" s="5">
        <v>44717</v>
      </c>
      <c r="AH36" s="5">
        <v>6897</v>
      </c>
      <c r="AI36" s="6">
        <v>15.4</v>
      </c>
    </row>
    <row r="37" spans="1:35" x14ac:dyDescent="0.3">
      <c r="A37" t="s">
        <v>71</v>
      </c>
      <c r="B37" t="s">
        <v>68</v>
      </c>
      <c r="C37" s="5">
        <v>19760</v>
      </c>
      <c r="D37" s="5">
        <v>1317</v>
      </c>
      <c r="E37" s="5">
        <v>751</v>
      </c>
      <c r="F37" s="6">
        <v>6.7</v>
      </c>
      <c r="G37" s="6">
        <v>3.8</v>
      </c>
      <c r="H37" s="5">
        <v>20068</v>
      </c>
      <c r="I37" s="5">
        <v>1196</v>
      </c>
      <c r="J37" s="5">
        <v>707</v>
      </c>
      <c r="K37" s="6">
        <v>6</v>
      </c>
      <c r="L37" s="6">
        <v>3.5</v>
      </c>
      <c r="M37" s="5">
        <v>20374</v>
      </c>
      <c r="N37" s="5">
        <v>1189</v>
      </c>
      <c r="O37" s="5">
        <v>661</v>
      </c>
      <c r="P37" s="6">
        <v>5.8</v>
      </c>
      <c r="Q37" s="6">
        <v>3.2</v>
      </c>
      <c r="R37" s="5">
        <v>20865</v>
      </c>
      <c r="S37" s="5">
        <v>1288</v>
      </c>
      <c r="T37" s="5">
        <v>716</v>
      </c>
      <c r="U37" s="6">
        <v>6.2</v>
      </c>
      <c r="V37" s="6">
        <v>3.4</v>
      </c>
      <c r="W37" s="5">
        <v>21118</v>
      </c>
      <c r="X37" s="5">
        <v>1118</v>
      </c>
      <c r="Y37" s="5">
        <v>669</v>
      </c>
      <c r="Z37" s="6">
        <v>5.3</v>
      </c>
      <c r="AA37" s="6">
        <v>3.2</v>
      </c>
      <c r="AB37" s="5">
        <v>21795</v>
      </c>
      <c r="AC37" s="5">
        <v>1457</v>
      </c>
      <c r="AD37" s="5">
        <v>723</v>
      </c>
      <c r="AE37" s="6">
        <v>6.7</v>
      </c>
      <c r="AF37" s="6">
        <v>3.3</v>
      </c>
      <c r="AG37" s="5">
        <v>22039</v>
      </c>
      <c r="AH37" s="5">
        <v>1103</v>
      </c>
      <c r="AI37" s="6">
        <v>5</v>
      </c>
    </row>
    <row r="38" spans="1:35" x14ac:dyDescent="0.3">
      <c r="A38" t="s">
        <v>71</v>
      </c>
      <c r="B38" t="s">
        <v>69</v>
      </c>
      <c r="C38" s="5">
        <v>28750</v>
      </c>
      <c r="D38" s="5">
        <v>5440</v>
      </c>
      <c r="E38" s="5">
        <v>4551</v>
      </c>
      <c r="F38" s="6">
        <v>18.899999999999999</v>
      </c>
      <c r="G38" s="6">
        <v>15.8</v>
      </c>
      <c r="H38" s="5">
        <v>28299</v>
      </c>
      <c r="I38" s="5">
        <v>4660</v>
      </c>
      <c r="J38" s="5">
        <v>4505</v>
      </c>
      <c r="K38" s="6">
        <v>16.5</v>
      </c>
      <c r="L38" s="6">
        <v>15.9</v>
      </c>
      <c r="M38" s="5">
        <v>28094</v>
      </c>
      <c r="N38" s="5">
        <v>4729</v>
      </c>
      <c r="O38" s="5">
        <v>3790</v>
      </c>
      <c r="P38" s="6">
        <v>16.8</v>
      </c>
      <c r="Q38" s="6">
        <v>13.5</v>
      </c>
      <c r="R38" s="5">
        <v>28825</v>
      </c>
      <c r="S38" s="5">
        <v>4848</v>
      </c>
      <c r="T38" s="5">
        <v>4032</v>
      </c>
      <c r="U38" s="6">
        <v>16.8</v>
      </c>
      <c r="V38" s="6">
        <v>14</v>
      </c>
      <c r="W38" s="5">
        <v>28924</v>
      </c>
      <c r="X38" s="5">
        <v>4507</v>
      </c>
      <c r="Y38" s="5">
        <v>3708</v>
      </c>
      <c r="Z38" s="6">
        <v>15.6</v>
      </c>
      <c r="AA38" s="6">
        <v>12.8</v>
      </c>
      <c r="AB38" s="5">
        <v>29401</v>
      </c>
      <c r="AC38" s="5">
        <v>4535</v>
      </c>
      <c r="AD38" s="5">
        <v>3459</v>
      </c>
      <c r="AE38" s="6">
        <v>15.4</v>
      </c>
      <c r="AF38" s="6">
        <v>11.8</v>
      </c>
      <c r="AG38" s="5">
        <v>30319</v>
      </c>
      <c r="AH38" s="5">
        <v>4764</v>
      </c>
      <c r="AI38" s="6">
        <v>15.7</v>
      </c>
    </row>
    <row r="39" spans="1:35" x14ac:dyDescent="0.3">
      <c r="A39" t="s">
        <v>71</v>
      </c>
      <c r="B39" t="s">
        <v>70</v>
      </c>
      <c r="C39" s="5">
        <v>55501</v>
      </c>
      <c r="D39" s="5">
        <v>8401</v>
      </c>
      <c r="E39" s="5">
        <v>6017</v>
      </c>
      <c r="F39" s="6">
        <v>15.1</v>
      </c>
      <c r="G39" s="6">
        <v>10.8</v>
      </c>
      <c r="H39" s="5">
        <v>56746</v>
      </c>
      <c r="I39" s="5">
        <v>7730</v>
      </c>
      <c r="J39" s="5">
        <v>6320</v>
      </c>
      <c r="K39" s="6">
        <v>13.6</v>
      </c>
      <c r="L39" s="6">
        <v>11.1</v>
      </c>
      <c r="M39" s="5">
        <v>57772</v>
      </c>
      <c r="N39" s="5">
        <v>7735</v>
      </c>
      <c r="O39" s="5">
        <v>5779</v>
      </c>
      <c r="P39" s="6">
        <v>13.4</v>
      </c>
      <c r="Q39" s="6">
        <v>10</v>
      </c>
      <c r="R39" s="5">
        <v>59153</v>
      </c>
      <c r="S39" s="5">
        <v>7534</v>
      </c>
      <c r="T39" s="5">
        <v>5835</v>
      </c>
      <c r="U39" s="6">
        <v>12.7</v>
      </c>
      <c r="V39" s="6">
        <v>9.9</v>
      </c>
      <c r="W39" s="5">
        <v>60883</v>
      </c>
      <c r="X39" s="5">
        <v>7897</v>
      </c>
      <c r="Y39" s="5">
        <v>5912</v>
      </c>
      <c r="Z39" s="6">
        <v>13</v>
      </c>
      <c r="AA39" s="6">
        <v>9.6999999999999993</v>
      </c>
      <c r="AB39" s="5">
        <v>62434</v>
      </c>
      <c r="AC39" s="5">
        <v>7807</v>
      </c>
      <c r="AD39" s="5">
        <v>5677</v>
      </c>
      <c r="AE39" s="6">
        <v>12.5</v>
      </c>
      <c r="AF39" s="6">
        <v>9.1</v>
      </c>
      <c r="AG39" s="5">
        <v>65419</v>
      </c>
      <c r="AH39" s="5">
        <v>8949</v>
      </c>
      <c r="AI39" s="6">
        <v>13.7</v>
      </c>
    </row>
    <row r="40" spans="1:35" x14ac:dyDescent="0.3">
      <c r="A40" s="7" t="s">
        <v>72</v>
      </c>
      <c r="B40" s="7" t="s">
        <v>52</v>
      </c>
      <c r="C40" s="8">
        <v>296184</v>
      </c>
      <c r="D40" s="8">
        <v>40004</v>
      </c>
      <c r="E40" s="8">
        <v>31981</v>
      </c>
      <c r="F40" s="9">
        <v>13.5</v>
      </c>
      <c r="G40" s="9">
        <v>10.8</v>
      </c>
      <c r="H40" s="8">
        <v>303879</v>
      </c>
      <c r="I40" s="8">
        <v>41404</v>
      </c>
      <c r="J40" s="8">
        <v>31820</v>
      </c>
      <c r="K40" s="9">
        <v>13.6</v>
      </c>
      <c r="L40" s="9">
        <v>10.5</v>
      </c>
      <c r="M40" s="8">
        <v>309940</v>
      </c>
      <c r="N40" s="8">
        <v>39261</v>
      </c>
      <c r="O40" s="8">
        <v>31724</v>
      </c>
      <c r="P40" s="9">
        <v>12.7</v>
      </c>
      <c r="Q40" s="9">
        <v>10.199999999999999</v>
      </c>
      <c r="R40" s="8">
        <v>313471</v>
      </c>
      <c r="S40" s="8">
        <v>36653</v>
      </c>
      <c r="T40" s="8">
        <v>30390</v>
      </c>
      <c r="U40" s="9">
        <v>11.7</v>
      </c>
      <c r="V40" s="9">
        <v>9.6999999999999993</v>
      </c>
      <c r="W40" s="8">
        <v>321960</v>
      </c>
      <c r="X40" s="8">
        <v>36845</v>
      </c>
      <c r="Y40" s="8">
        <v>32150</v>
      </c>
      <c r="Z40" s="9">
        <v>11.4</v>
      </c>
      <c r="AA40" s="9">
        <v>10</v>
      </c>
      <c r="AB40" s="8">
        <v>323446</v>
      </c>
      <c r="AC40" s="8">
        <v>34899</v>
      </c>
      <c r="AD40" s="8">
        <v>31529</v>
      </c>
      <c r="AE40" s="9">
        <v>10.8</v>
      </c>
      <c r="AF40" s="9">
        <v>9.6999999999999993</v>
      </c>
      <c r="AG40" s="8">
        <v>325455</v>
      </c>
      <c r="AH40" s="8">
        <v>34873</v>
      </c>
      <c r="AI40" s="9">
        <v>10.7</v>
      </c>
    </row>
    <row r="41" spans="1:35" x14ac:dyDescent="0.3">
      <c r="A41" s="7" t="s">
        <v>72</v>
      </c>
      <c r="B41" s="7" t="s">
        <v>53</v>
      </c>
      <c r="C41" s="8">
        <v>156</v>
      </c>
      <c r="D41" s="8">
        <v>33</v>
      </c>
      <c r="E41" s="8">
        <v>27</v>
      </c>
      <c r="F41" s="9">
        <v>21.2</v>
      </c>
      <c r="G41" s="9">
        <v>17.3</v>
      </c>
      <c r="H41" s="8">
        <v>180</v>
      </c>
      <c r="I41" s="8">
        <v>43</v>
      </c>
      <c r="J41" s="8">
        <v>33</v>
      </c>
      <c r="K41" s="9">
        <v>23.9</v>
      </c>
      <c r="L41" s="9">
        <v>18.3</v>
      </c>
      <c r="M41" s="8">
        <v>225</v>
      </c>
      <c r="N41" s="8">
        <v>78</v>
      </c>
      <c r="O41" s="8">
        <v>40</v>
      </c>
      <c r="P41" s="9">
        <v>34.700000000000003</v>
      </c>
      <c r="Q41" s="9">
        <v>17.8</v>
      </c>
      <c r="R41" s="8">
        <v>267</v>
      </c>
      <c r="S41" s="8">
        <v>80</v>
      </c>
      <c r="T41" s="8">
        <v>51</v>
      </c>
      <c r="U41" s="9">
        <v>30</v>
      </c>
      <c r="V41" s="9">
        <v>19.100000000000001</v>
      </c>
      <c r="W41" s="8">
        <v>381</v>
      </c>
      <c r="X41" s="8">
        <v>71</v>
      </c>
      <c r="Y41" s="8">
        <v>61</v>
      </c>
      <c r="Z41" s="9">
        <v>18.600000000000001</v>
      </c>
      <c r="AA41" s="9">
        <v>16</v>
      </c>
      <c r="AB41" s="8">
        <v>413</v>
      </c>
      <c r="AC41" s="8">
        <v>90</v>
      </c>
      <c r="AD41" s="8">
        <v>56</v>
      </c>
      <c r="AE41" s="9">
        <v>21.8</v>
      </c>
      <c r="AF41" s="9">
        <v>13.6</v>
      </c>
      <c r="AG41" s="8">
        <v>479</v>
      </c>
      <c r="AH41" s="8">
        <v>122</v>
      </c>
      <c r="AI41" s="9">
        <v>25.5</v>
      </c>
    </row>
    <row r="42" spans="1:35" x14ac:dyDescent="0.3">
      <c r="A42" s="7" t="s">
        <v>72</v>
      </c>
      <c r="B42" s="7" t="s">
        <v>54</v>
      </c>
      <c r="C42" s="8">
        <v>7</v>
      </c>
      <c r="D42" s="8">
        <v>2</v>
      </c>
      <c r="E42" s="8">
        <v>2</v>
      </c>
      <c r="F42" s="9">
        <v>28.6</v>
      </c>
      <c r="G42" s="9">
        <v>28.6</v>
      </c>
      <c r="H42" s="8">
        <v>6</v>
      </c>
      <c r="I42" s="8">
        <v>1</v>
      </c>
      <c r="J42" s="8">
        <v>2</v>
      </c>
      <c r="K42" s="9">
        <v>16.7</v>
      </c>
      <c r="L42" s="9">
        <v>33.299999999999997</v>
      </c>
      <c r="M42" s="8">
        <v>5</v>
      </c>
      <c r="N42" s="8">
        <v>1</v>
      </c>
      <c r="O42" s="8">
        <v>0</v>
      </c>
      <c r="P42" s="9">
        <v>20</v>
      </c>
      <c r="Q42" s="9">
        <v>0</v>
      </c>
      <c r="R42" s="8">
        <v>6</v>
      </c>
      <c r="S42" s="8">
        <v>1</v>
      </c>
      <c r="T42" s="8">
        <v>2</v>
      </c>
      <c r="U42" s="9">
        <v>16.7</v>
      </c>
      <c r="V42" s="9">
        <v>33.299999999999997</v>
      </c>
      <c r="W42" s="8">
        <v>6</v>
      </c>
      <c r="X42" s="8">
        <v>1</v>
      </c>
      <c r="Y42" s="8" t="s">
        <v>73</v>
      </c>
      <c r="Z42" s="9">
        <v>16.7</v>
      </c>
      <c r="AA42" s="9" t="s">
        <v>73</v>
      </c>
      <c r="AB42" s="8">
        <v>7</v>
      </c>
      <c r="AC42" s="8" t="s">
        <v>73</v>
      </c>
      <c r="AD42" s="8">
        <v>1</v>
      </c>
      <c r="AE42" s="9" t="s">
        <v>73</v>
      </c>
      <c r="AF42" s="9">
        <v>14.3</v>
      </c>
      <c r="AG42" s="8">
        <v>6</v>
      </c>
      <c r="AH42" s="8">
        <v>1</v>
      </c>
      <c r="AI42" s="9">
        <v>16.7</v>
      </c>
    </row>
    <row r="43" spans="1:35" x14ac:dyDescent="0.3">
      <c r="A43" s="7" t="s">
        <v>72</v>
      </c>
      <c r="B43" s="7" t="s">
        <v>55</v>
      </c>
      <c r="C43" s="8">
        <v>31820</v>
      </c>
      <c r="D43" s="8">
        <v>2150</v>
      </c>
      <c r="E43" s="8">
        <v>2001</v>
      </c>
      <c r="F43" s="9">
        <v>6.8</v>
      </c>
      <c r="G43" s="9">
        <v>6.3</v>
      </c>
      <c r="H43" s="8">
        <v>31763</v>
      </c>
      <c r="I43" s="8">
        <v>2072</v>
      </c>
      <c r="J43" s="8">
        <v>1779</v>
      </c>
      <c r="K43" s="9">
        <v>6.5</v>
      </c>
      <c r="L43" s="9">
        <v>5.6</v>
      </c>
      <c r="M43" s="8">
        <v>31889</v>
      </c>
      <c r="N43" s="8">
        <v>2172</v>
      </c>
      <c r="O43" s="8">
        <v>1776</v>
      </c>
      <c r="P43" s="9">
        <v>6.8</v>
      </c>
      <c r="Q43" s="9">
        <v>5.6</v>
      </c>
      <c r="R43" s="8">
        <v>31668</v>
      </c>
      <c r="S43" s="8">
        <v>1697</v>
      </c>
      <c r="T43" s="8">
        <v>1808</v>
      </c>
      <c r="U43" s="9">
        <v>5.4</v>
      </c>
      <c r="V43" s="9">
        <v>5.7</v>
      </c>
      <c r="W43" s="8">
        <v>31666</v>
      </c>
      <c r="X43" s="8">
        <v>1624</v>
      </c>
      <c r="Y43" s="8">
        <v>1860</v>
      </c>
      <c r="Z43" s="9">
        <v>5.0999999999999996</v>
      </c>
      <c r="AA43" s="9">
        <v>5.9</v>
      </c>
      <c r="AB43" s="8">
        <v>31177</v>
      </c>
      <c r="AC43" s="8">
        <v>1513</v>
      </c>
      <c r="AD43" s="8">
        <v>1766</v>
      </c>
      <c r="AE43" s="9">
        <v>4.9000000000000004</v>
      </c>
      <c r="AF43" s="9">
        <v>5.7</v>
      </c>
      <c r="AG43" s="8">
        <v>30738</v>
      </c>
      <c r="AH43" s="8">
        <v>1479</v>
      </c>
      <c r="AI43" s="9">
        <v>4.8</v>
      </c>
    </row>
    <row r="44" spans="1:35" x14ac:dyDescent="0.3">
      <c r="A44" s="7" t="s">
        <v>72</v>
      </c>
      <c r="B44" s="7" t="s">
        <v>56</v>
      </c>
      <c r="C44" s="8">
        <v>476</v>
      </c>
      <c r="D44" s="8">
        <v>135</v>
      </c>
      <c r="E44" s="8">
        <v>11</v>
      </c>
      <c r="F44" s="9">
        <v>28.4</v>
      </c>
      <c r="G44" s="9">
        <v>2.2999999999999998</v>
      </c>
      <c r="H44" s="8">
        <v>609</v>
      </c>
      <c r="I44" s="8">
        <v>122</v>
      </c>
      <c r="J44" s="8">
        <v>15</v>
      </c>
      <c r="K44" s="9">
        <v>20</v>
      </c>
      <c r="L44" s="9">
        <v>2.5</v>
      </c>
      <c r="M44" s="8">
        <v>791</v>
      </c>
      <c r="N44" s="8">
        <v>155</v>
      </c>
      <c r="O44" s="8">
        <v>15</v>
      </c>
      <c r="P44" s="9">
        <v>19.600000000000001</v>
      </c>
      <c r="Q44" s="9">
        <v>1.9</v>
      </c>
      <c r="R44" s="8">
        <v>927</v>
      </c>
      <c r="S44" s="8">
        <v>121</v>
      </c>
      <c r="T44" s="8">
        <v>26</v>
      </c>
      <c r="U44" s="9">
        <v>13.1</v>
      </c>
      <c r="V44" s="9">
        <v>2.8</v>
      </c>
      <c r="W44" s="8">
        <v>1688</v>
      </c>
      <c r="X44" s="8">
        <v>228</v>
      </c>
      <c r="Y44" s="8">
        <v>33</v>
      </c>
      <c r="Z44" s="9">
        <v>13.5</v>
      </c>
      <c r="AA44" s="9">
        <v>2</v>
      </c>
      <c r="AB44" s="8">
        <v>2105</v>
      </c>
      <c r="AC44" s="8">
        <v>306</v>
      </c>
      <c r="AD44" s="8">
        <v>42</v>
      </c>
      <c r="AE44" s="9">
        <v>14.5</v>
      </c>
      <c r="AF44" s="9">
        <v>2</v>
      </c>
      <c r="AG44" s="8">
        <v>2583</v>
      </c>
      <c r="AH44" s="8">
        <v>384</v>
      </c>
      <c r="AI44" s="9">
        <v>14.9</v>
      </c>
    </row>
    <row r="45" spans="1:35" x14ac:dyDescent="0.3">
      <c r="A45" s="7" t="s">
        <v>72</v>
      </c>
      <c r="B45" s="7" t="s">
        <v>57</v>
      </c>
      <c r="C45" s="8">
        <v>380</v>
      </c>
      <c r="D45" s="8">
        <v>36</v>
      </c>
      <c r="E45" s="8">
        <v>18</v>
      </c>
      <c r="F45" s="9">
        <v>9.5</v>
      </c>
      <c r="G45" s="9">
        <v>4.7</v>
      </c>
      <c r="H45" s="8">
        <v>398</v>
      </c>
      <c r="I45" s="8">
        <v>36</v>
      </c>
      <c r="J45" s="8">
        <v>22</v>
      </c>
      <c r="K45" s="9">
        <v>9</v>
      </c>
      <c r="L45" s="9">
        <v>5.5</v>
      </c>
      <c r="M45" s="8">
        <v>413</v>
      </c>
      <c r="N45" s="8">
        <v>33</v>
      </c>
      <c r="O45" s="8">
        <v>23</v>
      </c>
      <c r="P45" s="9">
        <v>8</v>
      </c>
      <c r="Q45" s="9">
        <v>5.6</v>
      </c>
      <c r="R45" s="8">
        <v>420</v>
      </c>
      <c r="S45" s="8">
        <v>32</v>
      </c>
      <c r="T45" s="8">
        <v>17</v>
      </c>
      <c r="U45" s="9">
        <v>7.6</v>
      </c>
      <c r="V45" s="9">
        <v>4</v>
      </c>
      <c r="W45" s="8">
        <v>443</v>
      </c>
      <c r="X45" s="8">
        <v>26</v>
      </c>
      <c r="Y45" s="8">
        <v>36</v>
      </c>
      <c r="Z45" s="9">
        <v>5.9</v>
      </c>
      <c r="AA45" s="9">
        <v>8.1</v>
      </c>
      <c r="AB45" s="8">
        <v>439</v>
      </c>
      <c r="AC45" s="8">
        <v>29</v>
      </c>
      <c r="AD45" s="8">
        <v>33</v>
      </c>
      <c r="AE45" s="9">
        <v>6.6</v>
      </c>
      <c r="AF45" s="9">
        <v>7.5</v>
      </c>
      <c r="AG45" s="8">
        <v>414</v>
      </c>
      <c r="AH45" s="8">
        <v>10</v>
      </c>
      <c r="AI45" s="9">
        <v>2.4</v>
      </c>
    </row>
    <row r="46" spans="1:35" x14ac:dyDescent="0.3">
      <c r="A46" s="7" t="s">
        <v>72</v>
      </c>
      <c r="B46" s="7" t="s">
        <v>58</v>
      </c>
      <c r="C46" s="8">
        <v>17757</v>
      </c>
      <c r="D46" s="8">
        <v>1967</v>
      </c>
      <c r="E46" s="8">
        <v>1278</v>
      </c>
      <c r="F46" s="9">
        <v>11.1</v>
      </c>
      <c r="G46" s="9">
        <v>7.2</v>
      </c>
      <c r="H46" s="8">
        <v>18629</v>
      </c>
      <c r="I46" s="8">
        <v>2182</v>
      </c>
      <c r="J46" s="8">
        <v>1205</v>
      </c>
      <c r="K46" s="9">
        <v>11.7</v>
      </c>
      <c r="L46" s="9">
        <v>6.5</v>
      </c>
      <c r="M46" s="8">
        <v>19632</v>
      </c>
      <c r="N46" s="8">
        <v>2173</v>
      </c>
      <c r="O46" s="8">
        <v>1394</v>
      </c>
      <c r="P46" s="9">
        <v>11.1</v>
      </c>
      <c r="Q46" s="9">
        <v>7.1</v>
      </c>
      <c r="R46" s="8">
        <v>20239</v>
      </c>
      <c r="S46" s="8">
        <v>1997</v>
      </c>
      <c r="T46" s="8">
        <v>1463</v>
      </c>
      <c r="U46" s="9">
        <v>9.9</v>
      </c>
      <c r="V46" s="9">
        <v>7.2</v>
      </c>
      <c r="W46" s="8">
        <v>21232</v>
      </c>
      <c r="X46" s="8">
        <v>2003</v>
      </c>
      <c r="Y46" s="8">
        <v>1569</v>
      </c>
      <c r="Z46" s="9">
        <v>9.4</v>
      </c>
      <c r="AA46" s="9">
        <v>7.4</v>
      </c>
      <c r="AB46" s="8">
        <v>21419</v>
      </c>
      <c r="AC46" s="8">
        <v>1940</v>
      </c>
      <c r="AD46" s="8">
        <v>1646</v>
      </c>
      <c r="AE46" s="9">
        <v>9.1</v>
      </c>
      <c r="AF46" s="9">
        <v>7.7</v>
      </c>
      <c r="AG46" s="8">
        <v>21457</v>
      </c>
      <c r="AH46" s="8">
        <v>1845</v>
      </c>
      <c r="AI46" s="9">
        <v>8.6</v>
      </c>
    </row>
    <row r="47" spans="1:35" x14ac:dyDescent="0.3">
      <c r="A47" s="7" t="s">
        <v>72</v>
      </c>
      <c r="B47" s="7" t="s">
        <v>59</v>
      </c>
      <c r="C47" s="8">
        <v>71083</v>
      </c>
      <c r="D47" s="8">
        <v>9715</v>
      </c>
      <c r="E47" s="8">
        <v>8312</v>
      </c>
      <c r="F47" s="9">
        <v>13.7</v>
      </c>
      <c r="G47" s="9">
        <v>11.7</v>
      </c>
      <c r="H47" s="8">
        <v>71764</v>
      </c>
      <c r="I47" s="8">
        <v>9606</v>
      </c>
      <c r="J47" s="8">
        <v>8142</v>
      </c>
      <c r="K47" s="9">
        <v>13.4</v>
      </c>
      <c r="L47" s="9">
        <v>11.3</v>
      </c>
      <c r="M47" s="8">
        <v>72770</v>
      </c>
      <c r="N47" s="8">
        <v>9585</v>
      </c>
      <c r="O47" s="8">
        <v>8393</v>
      </c>
      <c r="P47" s="9">
        <v>13.2</v>
      </c>
      <c r="Q47" s="9">
        <v>11.5</v>
      </c>
      <c r="R47" s="8">
        <v>73648</v>
      </c>
      <c r="S47" s="8">
        <v>9575</v>
      </c>
      <c r="T47" s="8">
        <v>8217</v>
      </c>
      <c r="U47" s="9">
        <v>13</v>
      </c>
      <c r="V47" s="9">
        <v>11.2</v>
      </c>
      <c r="W47" s="8">
        <v>75595</v>
      </c>
      <c r="X47" s="8">
        <v>9853</v>
      </c>
      <c r="Y47" s="8">
        <v>9053</v>
      </c>
      <c r="Z47" s="9">
        <v>13</v>
      </c>
      <c r="AA47" s="9">
        <v>12</v>
      </c>
      <c r="AB47" s="8">
        <v>75085</v>
      </c>
      <c r="AC47" s="8">
        <v>8813</v>
      </c>
      <c r="AD47" s="8">
        <v>8723</v>
      </c>
      <c r="AE47" s="9">
        <v>11.7</v>
      </c>
      <c r="AF47" s="9">
        <v>11.6</v>
      </c>
      <c r="AG47" s="8">
        <v>75809</v>
      </c>
      <c r="AH47" s="8">
        <v>9757</v>
      </c>
      <c r="AI47" s="9">
        <v>12.9</v>
      </c>
    </row>
    <row r="48" spans="1:35" x14ac:dyDescent="0.3">
      <c r="A48" s="7" t="s">
        <v>72</v>
      </c>
      <c r="B48" s="7" t="s">
        <v>60</v>
      </c>
      <c r="C48" s="8">
        <v>30764</v>
      </c>
      <c r="D48" s="8">
        <v>2211</v>
      </c>
      <c r="E48" s="8">
        <v>1651</v>
      </c>
      <c r="F48" s="9">
        <v>7.2</v>
      </c>
      <c r="G48" s="9">
        <v>5.4</v>
      </c>
      <c r="H48" s="8">
        <v>31044</v>
      </c>
      <c r="I48" s="8">
        <v>2165</v>
      </c>
      <c r="J48" s="8">
        <v>1730</v>
      </c>
      <c r="K48" s="9">
        <v>7</v>
      </c>
      <c r="L48" s="9">
        <v>5.6</v>
      </c>
      <c r="M48" s="8">
        <v>31413</v>
      </c>
      <c r="N48" s="8">
        <v>2256</v>
      </c>
      <c r="O48" s="8">
        <v>1978</v>
      </c>
      <c r="P48" s="9">
        <v>7.2</v>
      </c>
      <c r="Q48" s="9">
        <v>6.3</v>
      </c>
      <c r="R48" s="8">
        <v>31760</v>
      </c>
      <c r="S48" s="8">
        <v>2510</v>
      </c>
      <c r="T48" s="8">
        <v>2093</v>
      </c>
      <c r="U48" s="9">
        <v>7.9</v>
      </c>
      <c r="V48" s="9">
        <v>6.6</v>
      </c>
      <c r="W48" s="8">
        <v>32331</v>
      </c>
      <c r="X48" s="8">
        <v>2615</v>
      </c>
      <c r="Y48" s="8">
        <v>2137</v>
      </c>
      <c r="Z48" s="9">
        <v>8.1</v>
      </c>
      <c r="AA48" s="9">
        <v>6.6</v>
      </c>
      <c r="AB48" s="8">
        <v>32526</v>
      </c>
      <c r="AC48" s="8">
        <v>2465</v>
      </c>
      <c r="AD48" s="8">
        <v>2151</v>
      </c>
      <c r="AE48" s="9">
        <v>7.6</v>
      </c>
      <c r="AF48" s="9">
        <v>6.6</v>
      </c>
      <c r="AG48" s="8">
        <v>32656</v>
      </c>
      <c r="AH48" s="8">
        <v>2363</v>
      </c>
      <c r="AI48" s="9">
        <v>7.2</v>
      </c>
    </row>
    <row r="49" spans="1:35" x14ac:dyDescent="0.3">
      <c r="A49" s="7" t="s">
        <v>72</v>
      </c>
      <c r="B49" s="7" t="s">
        <v>61</v>
      </c>
      <c r="C49" s="8">
        <v>38836</v>
      </c>
      <c r="D49" s="8">
        <v>7860</v>
      </c>
      <c r="E49" s="8">
        <v>6653</v>
      </c>
      <c r="F49" s="9">
        <v>20.2</v>
      </c>
      <c r="G49" s="9">
        <v>17.100000000000001</v>
      </c>
      <c r="H49" s="8">
        <v>38619</v>
      </c>
      <c r="I49" s="8">
        <v>6817</v>
      </c>
      <c r="J49" s="8">
        <v>6312</v>
      </c>
      <c r="K49" s="9">
        <v>17.7</v>
      </c>
      <c r="L49" s="9">
        <v>16.3</v>
      </c>
      <c r="M49" s="8">
        <v>38699</v>
      </c>
      <c r="N49" s="8">
        <v>6703</v>
      </c>
      <c r="O49" s="8">
        <v>5821</v>
      </c>
      <c r="P49" s="9">
        <v>17.3</v>
      </c>
      <c r="Q49" s="9">
        <v>15</v>
      </c>
      <c r="R49" s="8">
        <v>38671</v>
      </c>
      <c r="S49" s="8">
        <v>6095</v>
      </c>
      <c r="T49" s="8">
        <v>5547</v>
      </c>
      <c r="U49" s="9">
        <v>15.8</v>
      </c>
      <c r="V49" s="9">
        <v>14.3</v>
      </c>
      <c r="W49" s="8">
        <v>40068</v>
      </c>
      <c r="X49" s="8">
        <v>6763</v>
      </c>
      <c r="Y49" s="8">
        <v>6180</v>
      </c>
      <c r="Z49" s="9">
        <v>16.899999999999999</v>
      </c>
      <c r="AA49" s="9">
        <v>15.4</v>
      </c>
      <c r="AB49" s="8">
        <v>39602</v>
      </c>
      <c r="AC49" s="8">
        <v>6084</v>
      </c>
      <c r="AD49" s="8">
        <v>5874</v>
      </c>
      <c r="AE49" s="9">
        <v>15.4</v>
      </c>
      <c r="AF49" s="9">
        <v>14.8</v>
      </c>
      <c r="AG49" s="8">
        <v>38665</v>
      </c>
      <c r="AH49" s="8">
        <v>5355</v>
      </c>
      <c r="AI49" s="9">
        <v>13.8</v>
      </c>
    </row>
    <row r="50" spans="1:35" x14ac:dyDescent="0.3">
      <c r="A50" s="7" t="s">
        <v>72</v>
      </c>
      <c r="B50" s="7" t="s">
        <v>62</v>
      </c>
      <c r="C50" s="8">
        <v>2128</v>
      </c>
      <c r="D50" s="8">
        <v>353</v>
      </c>
      <c r="E50" s="8">
        <v>230</v>
      </c>
      <c r="F50" s="9">
        <v>16.600000000000001</v>
      </c>
      <c r="G50" s="9">
        <v>10.8</v>
      </c>
      <c r="H50" s="8">
        <v>2285</v>
      </c>
      <c r="I50" s="8">
        <v>413</v>
      </c>
      <c r="J50" s="8">
        <v>247</v>
      </c>
      <c r="K50" s="9">
        <v>18.100000000000001</v>
      </c>
      <c r="L50" s="9">
        <v>10.8</v>
      </c>
      <c r="M50" s="8">
        <v>2523</v>
      </c>
      <c r="N50" s="8">
        <v>470</v>
      </c>
      <c r="O50" s="8">
        <v>277</v>
      </c>
      <c r="P50" s="9">
        <v>18.600000000000001</v>
      </c>
      <c r="Q50" s="9">
        <v>11</v>
      </c>
      <c r="R50" s="8">
        <v>2695</v>
      </c>
      <c r="S50" s="8">
        <v>453</v>
      </c>
      <c r="T50" s="8">
        <v>329</v>
      </c>
      <c r="U50" s="9">
        <v>16.8</v>
      </c>
      <c r="V50" s="9">
        <v>12.2</v>
      </c>
      <c r="W50" s="8">
        <v>2849</v>
      </c>
      <c r="X50" s="8">
        <v>459</v>
      </c>
      <c r="Y50" s="8">
        <v>354</v>
      </c>
      <c r="Z50" s="9">
        <v>16.100000000000001</v>
      </c>
      <c r="AA50" s="9">
        <v>12.4</v>
      </c>
      <c r="AB50" s="8">
        <v>3047</v>
      </c>
      <c r="AC50" s="8">
        <v>530</v>
      </c>
      <c r="AD50" s="8">
        <v>397</v>
      </c>
      <c r="AE50" s="9">
        <v>17.399999999999999</v>
      </c>
      <c r="AF50" s="9">
        <v>13</v>
      </c>
      <c r="AG50" s="8">
        <v>3257</v>
      </c>
      <c r="AH50" s="8">
        <v>612</v>
      </c>
      <c r="AI50" s="9">
        <v>18.8</v>
      </c>
    </row>
    <row r="51" spans="1:35" x14ac:dyDescent="0.3">
      <c r="A51" s="7" t="s">
        <v>72</v>
      </c>
      <c r="B51" s="7" t="s">
        <v>63</v>
      </c>
      <c r="C51" s="8">
        <v>850</v>
      </c>
      <c r="D51" s="8">
        <v>153</v>
      </c>
      <c r="E51" s="8">
        <v>118</v>
      </c>
      <c r="F51" s="9">
        <v>18</v>
      </c>
      <c r="G51" s="9">
        <v>13.9</v>
      </c>
      <c r="H51" s="8">
        <v>849</v>
      </c>
      <c r="I51" s="8">
        <v>123</v>
      </c>
      <c r="J51" s="8">
        <v>96</v>
      </c>
      <c r="K51" s="9">
        <v>14.5</v>
      </c>
      <c r="L51" s="9">
        <v>11.3</v>
      </c>
      <c r="M51" s="8">
        <v>882</v>
      </c>
      <c r="N51" s="8">
        <v>132</v>
      </c>
      <c r="O51" s="8">
        <v>111</v>
      </c>
      <c r="P51" s="9">
        <v>15</v>
      </c>
      <c r="Q51" s="9">
        <v>12.6</v>
      </c>
      <c r="R51" s="8">
        <v>872</v>
      </c>
      <c r="S51" s="8">
        <v>107</v>
      </c>
      <c r="T51" s="8">
        <v>89</v>
      </c>
      <c r="U51" s="9">
        <v>12.3</v>
      </c>
      <c r="V51" s="9">
        <v>10.199999999999999</v>
      </c>
      <c r="W51" s="8">
        <v>888</v>
      </c>
      <c r="X51" s="8">
        <v>101</v>
      </c>
      <c r="Y51" s="8">
        <v>125</v>
      </c>
      <c r="Z51" s="9">
        <v>11.4</v>
      </c>
      <c r="AA51" s="9">
        <v>14.1</v>
      </c>
      <c r="AB51" s="8">
        <v>885</v>
      </c>
      <c r="AC51" s="8">
        <v>119</v>
      </c>
      <c r="AD51" s="8">
        <v>105</v>
      </c>
      <c r="AE51" s="9">
        <v>13.4</v>
      </c>
      <c r="AF51" s="9">
        <v>11.9</v>
      </c>
      <c r="AG51" s="8">
        <v>934</v>
      </c>
      <c r="AH51" s="8">
        <v>153</v>
      </c>
      <c r="AI51" s="9">
        <v>16.399999999999999</v>
      </c>
    </row>
    <row r="52" spans="1:35" x14ac:dyDescent="0.3">
      <c r="A52" s="7" t="s">
        <v>72</v>
      </c>
      <c r="B52" s="7" t="s">
        <v>64</v>
      </c>
      <c r="C52" s="8">
        <v>55658</v>
      </c>
      <c r="D52" s="8">
        <v>7993</v>
      </c>
      <c r="E52" s="8">
        <v>6234</v>
      </c>
      <c r="F52" s="9">
        <v>14.4</v>
      </c>
      <c r="G52" s="9">
        <v>11.2</v>
      </c>
      <c r="H52" s="8">
        <v>59952</v>
      </c>
      <c r="I52" s="8">
        <v>10663</v>
      </c>
      <c r="J52" s="8">
        <v>6909</v>
      </c>
      <c r="K52" s="9">
        <v>17.8</v>
      </c>
      <c r="L52" s="9">
        <v>11.5</v>
      </c>
      <c r="M52" s="8">
        <v>61205</v>
      </c>
      <c r="N52" s="8">
        <v>8383</v>
      </c>
      <c r="O52" s="8">
        <v>6717</v>
      </c>
      <c r="P52" s="9">
        <v>13.7</v>
      </c>
      <c r="Q52" s="9">
        <v>11</v>
      </c>
      <c r="R52" s="8">
        <v>61224</v>
      </c>
      <c r="S52" s="8">
        <v>7062</v>
      </c>
      <c r="T52" s="8">
        <v>5417</v>
      </c>
      <c r="U52" s="9">
        <v>11.5</v>
      </c>
      <c r="V52" s="9">
        <v>8.8000000000000007</v>
      </c>
      <c r="W52" s="8">
        <v>61889</v>
      </c>
      <c r="X52" s="8">
        <v>6055</v>
      </c>
      <c r="Y52" s="8">
        <v>5330</v>
      </c>
      <c r="Z52" s="9">
        <v>9.8000000000000007</v>
      </c>
      <c r="AA52" s="9">
        <v>8.6</v>
      </c>
      <c r="AB52" s="8">
        <v>62110</v>
      </c>
      <c r="AC52" s="8">
        <v>5699</v>
      </c>
      <c r="AD52" s="8">
        <v>5552</v>
      </c>
      <c r="AE52" s="9">
        <v>9.1999999999999993</v>
      </c>
      <c r="AF52" s="9">
        <v>8.9</v>
      </c>
      <c r="AG52" s="8">
        <v>61450</v>
      </c>
      <c r="AH52" s="8">
        <v>5141</v>
      </c>
      <c r="AI52" s="9">
        <v>8.4</v>
      </c>
    </row>
    <row r="53" spans="1:35" x14ac:dyDescent="0.3">
      <c r="A53" s="7" t="s">
        <v>72</v>
      </c>
      <c r="B53" s="7" t="s">
        <v>65</v>
      </c>
      <c r="C53" s="8">
        <v>6815</v>
      </c>
      <c r="D53" s="8">
        <v>903</v>
      </c>
      <c r="E53" s="8">
        <v>548</v>
      </c>
      <c r="F53" s="9">
        <v>13.3</v>
      </c>
      <c r="G53" s="9">
        <v>8</v>
      </c>
      <c r="H53" s="8">
        <v>7282</v>
      </c>
      <c r="I53" s="8">
        <v>987</v>
      </c>
      <c r="J53" s="8">
        <v>592</v>
      </c>
      <c r="K53" s="9">
        <v>13.6</v>
      </c>
      <c r="L53" s="9">
        <v>8.1</v>
      </c>
      <c r="M53" s="8">
        <v>7758</v>
      </c>
      <c r="N53" s="8">
        <v>1035</v>
      </c>
      <c r="O53" s="8">
        <v>608</v>
      </c>
      <c r="P53" s="9">
        <v>13.3</v>
      </c>
      <c r="Q53" s="9">
        <v>7.8</v>
      </c>
      <c r="R53" s="8">
        <v>8228</v>
      </c>
      <c r="S53" s="8">
        <v>1079</v>
      </c>
      <c r="T53" s="8">
        <v>703</v>
      </c>
      <c r="U53" s="9">
        <v>13.1</v>
      </c>
      <c r="V53" s="9">
        <v>8.5</v>
      </c>
      <c r="W53" s="8">
        <v>8687</v>
      </c>
      <c r="X53" s="8">
        <v>1067</v>
      </c>
      <c r="Y53" s="8">
        <v>783</v>
      </c>
      <c r="Z53" s="9">
        <v>12.3</v>
      </c>
      <c r="AA53" s="9">
        <v>9</v>
      </c>
      <c r="AB53" s="8">
        <v>8945</v>
      </c>
      <c r="AC53" s="8">
        <v>1089</v>
      </c>
      <c r="AD53" s="8">
        <v>783</v>
      </c>
      <c r="AE53" s="9">
        <v>12.2</v>
      </c>
      <c r="AF53" s="9">
        <v>8.8000000000000007</v>
      </c>
      <c r="AG53" s="8">
        <v>9424</v>
      </c>
      <c r="AH53" s="8">
        <v>1226</v>
      </c>
      <c r="AI53" s="9">
        <v>13</v>
      </c>
    </row>
    <row r="54" spans="1:35" x14ac:dyDescent="0.3">
      <c r="A54" s="7" t="s">
        <v>72</v>
      </c>
      <c r="B54" s="7" t="s">
        <v>66</v>
      </c>
      <c r="C54" s="8">
        <v>5347</v>
      </c>
      <c r="D54" s="8">
        <v>856</v>
      </c>
      <c r="E54" s="8">
        <v>827</v>
      </c>
      <c r="F54" s="9">
        <v>16</v>
      </c>
      <c r="G54" s="9">
        <v>15.5</v>
      </c>
      <c r="H54" s="8">
        <v>5500</v>
      </c>
      <c r="I54" s="8">
        <v>990</v>
      </c>
      <c r="J54" s="8">
        <v>744</v>
      </c>
      <c r="K54" s="9">
        <v>18</v>
      </c>
      <c r="L54" s="9">
        <v>13.5</v>
      </c>
      <c r="M54" s="8">
        <v>5518</v>
      </c>
      <c r="N54" s="8">
        <v>811</v>
      </c>
      <c r="O54" s="8">
        <v>624</v>
      </c>
      <c r="P54" s="9">
        <v>14.7</v>
      </c>
      <c r="Q54" s="9">
        <v>11.3</v>
      </c>
      <c r="R54" s="8">
        <v>5695</v>
      </c>
      <c r="S54" s="8">
        <v>823</v>
      </c>
      <c r="T54" s="8">
        <v>665</v>
      </c>
      <c r="U54" s="9">
        <v>14.5</v>
      </c>
      <c r="V54" s="9">
        <v>11.7</v>
      </c>
      <c r="W54" s="8">
        <v>5940</v>
      </c>
      <c r="X54" s="8">
        <v>867</v>
      </c>
      <c r="Y54" s="8">
        <v>685</v>
      </c>
      <c r="Z54" s="9">
        <v>14.6</v>
      </c>
      <c r="AA54" s="9">
        <v>11.5</v>
      </c>
      <c r="AB54" s="8">
        <v>6141</v>
      </c>
      <c r="AC54" s="8">
        <v>902</v>
      </c>
      <c r="AD54" s="8">
        <v>680</v>
      </c>
      <c r="AE54" s="9">
        <v>14.7</v>
      </c>
      <c r="AF54" s="9">
        <v>11.1</v>
      </c>
      <c r="AG54" s="8">
        <v>6495</v>
      </c>
      <c r="AH54" s="8">
        <v>1039</v>
      </c>
      <c r="AI54" s="9">
        <v>16</v>
      </c>
    </row>
    <row r="55" spans="1:35" x14ac:dyDescent="0.3">
      <c r="A55" s="7" t="s">
        <v>72</v>
      </c>
      <c r="B55" s="7" t="s">
        <v>67</v>
      </c>
      <c r="C55" s="8">
        <v>8960</v>
      </c>
      <c r="D55" s="8">
        <v>1717</v>
      </c>
      <c r="E55" s="8">
        <v>1352</v>
      </c>
      <c r="F55" s="9">
        <v>19.2</v>
      </c>
      <c r="G55" s="9">
        <v>15.1</v>
      </c>
      <c r="H55" s="8">
        <v>9366</v>
      </c>
      <c r="I55" s="8">
        <v>1783</v>
      </c>
      <c r="J55" s="8">
        <v>1201</v>
      </c>
      <c r="K55" s="9">
        <v>19</v>
      </c>
      <c r="L55" s="9">
        <v>12.8</v>
      </c>
      <c r="M55" s="8">
        <v>10061</v>
      </c>
      <c r="N55" s="8">
        <v>1866</v>
      </c>
      <c r="O55" s="8">
        <v>1197</v>
      </c>
      <c r="P55" s="9">
        <v>18.5</v>
      </c>
      <c r="Q55" s="9">
        <v>11.9</v>
      </c>
      <c r="R55" s="8">
        <v>10572</v>
      </c>
      <c r="S55" s="8">
        <v>1715</v>
      </c>
      <c r="T55" s="8">
        <v>1415</v>
      </c>
      <c r="U55" s="9">
        <v>16.2</v>
      </c>
      <c r="V55" s="9">
        <v>13.4</v>
      </c>
      <c r="W55" s="8">
        <v>10849</v>
      </c>
      <c r="X55" s="8">
        <v>1726</v>
      </c>
      <c r="Y55" s="8">
        <v>1367</v>
      </c>
      <c r="Z55" s="9">
        <v>15.9</v>
      </c>
      <c r="AA55" s="9">
        <v>12.6</v>
      </c>
      <c r="AB55" s="8">
        <v>11343</v>
      </c>
      <c r="AC55" s="8">
        <v>1879</v>
      </c>
      <c r="AD55" s="8">
        <v>1405</v>
      </c>
      <c r="AE55" s="9">
        <v>16.600000000000001</v>
      </c>
      <c r="AF55" s="9">
        <v>12.4</v>
      </c>
      <c r="AG55" s="8">
        <v>11831</v>
      </c>
      <c r="AH55" s="8">
        <v>1934</v>
      </c>
      <c r="AI55" s="9">
        <v>16.3</v>
      </c>
    </row>
    <row r="56" spans="1:35" x14ac:dyDescent="0.3">
      <c r="A56" s="7" t="s">
        <v>72</v>
      </c>
      <c r="B56" s="7" t="s">
        <v>68</v>
      </c>
      <c r="C56" s="8">
        <v>4212</v>
      </c>
      <c r="D56" s="8">
        <v>238</v>
      </c>
      <c r="E56" s="8">
        <v>137</v>
      </c>
      <c r="F56" s="9">
        <v>5.7</v>
      </c>
      <c r="G56" s="9">
        <v>3.3</v>
      </c>
      <c r="H56" s="8">
        <v>4241</v>
      </c>
      <c r="I56" s="8">
        <v>192</v>
      </c>
      <c r="J56" s="8">
        <v>119</v>
      </c>
      <c r="K56" s="9">
        <v>4.5</v>
      </c>
      <c r="L56" s="9">
        <v>2.8</v>
      </c>
      <c r="M56" s="8">
        <v>4341</v>
      </c>
      <c r="N56" s="8">
        <v>231</v>
      </c>
      <c r="O56" s="8">
        <v>120</v>
      </c>
      <c r="P56" s="9">
        <v>5.3</v>
      </c>
      <c r="Q56" s="9">
        <v>2.8</v>
      </c>
      <c r="R56" s="8">
        <v>4449</v>
      </c>
      <c r="S56" s="8">
        <v>234</v>
      </c>
      <c r="T56" s="8">
        <v>138</v>
      </c>
      <c r="U56" s="9">
        <v>5.3</v>
      </c>
      <c r="V56" s="9">
        <v>3.1</v>
      </c>
      <c r="W56" s="8">
        <v>4529</v>
      </c>
      <c r="X56" s="8">
        <v>227</v>
      </c>
      <c r="Y56" s="8">
        <v>124</v>
      </c>
      <c r="Z56" s="9">
        <v>5</v>
      </c>
      <c r="AA56" s="9">
        <v>2.7</v>
      </c>
      <c r="AB56" s="8">
        <v>4643</v>
      </c>
      <c r="AC56" s="8">
        <v>266</v>
      </c>
      <c r="AD56" s="8">
        <v>111</v>
      </c>
      <c r="AE56" s="9">
        <v>5.7</v>
      </c>
      <c r="AF56" s="9">
        <v>2.4</v>
      </c>
      <c r="AG56" s="8">
        <v>4681</v>
      </c>
      <c r="AH56" s="8">
        <v>171</v>
      </c>
      <c r="AI56" s="9">
        <v>3.7</v>
      </c>
    </row>
    <row r="57" spans="1:35" x14ac:dyDescent="0.3">
      <c r="A57" s="7" t="s">
        <v>72</v>
      </c>
      <c r="B57" s="7" t="s">
        <v>69</v>
      </c>
      <c r="C57" s="8">
        <v>5949</v>
      </c>
      <c r="D57" s="8">
        <v>1117</v>
      </c>
      <c r="E57" s="8">
        <v>985</v>
      </c>
      <c r="F57" s="9">
        <v>18.8</v>
      </c>
      <c r="G57" s="9">
        <v>16.600000000000001</v>
      </c>
      <c r="H57" s="8">
        <v>5750</v>
      </c>
      <c r="I57" s="8">
        <v>884</v>
      </c>
      <c r="J57" s="8">
        <v>993</v>
      </c>
      <c r="K57" s="9">
        <v>15.4</v>
      </c>
      <c r="L57" s="9">
        <v>17.3</v>
      </c>
      <c r="M57" s="8">
        <v>5581</v>
      </c>
      <c r="N57" s="8">
        <v>876</v>
      </c>
      <c r="O57" s="8">
        <v>797</v>
      </c>
      <c r="P57" s="9">
        <v>15.7</v>
      </c>
      <c r="Q57" s="9">
        <v>14.3</v>
      </c>
      <c r="R57" s="8">
        <v>5669</v>
      </c>
      <c r="S57" s="8">
        <v>938</v>
      </c>
      <c r="T57" s="8">
        <v>751</v>
      </c>
      <c r="U57" s="9">
        <v>16.5</v>
      </c>
      <c r="V57" s="9">
        <v>13.2</v>
      </c>
      <c r="W57" s="8">
        <v>5711</v>
      </c>
      <c r="X57" s="8">
        <v>823</v>
      </c>
      <c r="Y57" s="8">
        <v>749</v>
      </c>
      <c r="Z57" s="9">
        <v>14.4</v>
      </c>
      <c r="AA57" s="9">
        <v>13.1</v>
      </c>
      <c r="AB57" s="8">
        <v>5744</v>
      </c>
      <c r="AC57" s="8">
        <v>813</v>
      </c>
      <c r="AD57" s="8">
        <v>699</v>
      </c>
      <c r="AE57" s="9">
        <v>14.2</v>
      </c>
      <c r="AF57" s="9">
        <v>12.2</v>
      </c>
      <c r="AG57" s="8">
        <v>5793</v>
      </c>
      <c r="AH57" s="8">
        <v>797</v>
      </c>
      <c r="AI57" s="9">
        <v>13.8</v>
      </c>
    </row>
    <row r="58" spans="1:35" x14ac:dyDescent="0.3">
      <c r="A58" s="7" t="s">
        <v>72</v>
      </c>
      <c r="B58" s="7" t="s">
        <v>70</v>
      </c>
      <c r="C58" s="8">
        <v>14986</v>
      </c>
      <c r="D58" s="8">
        <v>2565</v>
      </c>
      <c r="E58" s="8">
        <v>1597</v>
      </c>
      <c r="F58" s="9">
        <v>17.100000000000001</v>
      </c>
      <c r="G58" s="9">
        <v>10.7</v>
      </c>
      <c r="H58" s="8">
        <v>15642</v>
      </c>
      <c r="I58" s="8">
        <v>2325</v>
      </c>
      <c r="J58" s="8">
        <v>1679</v>
      </c>
      <c r="K58" s="9">
        <v>14.9</v>
      </c>
      <c r="L58" s="9">
        <v>10.7</v>
      </c>
      <c r="M58" s="8">
        <v>16234</v>
      </c>
      <c r="N58" s="8">
        <v>2301</v>
      </c>
      <c r="O58" s="8">
        <v>1833</v>
      </c>
      <c r="P58" s="9">
        <v>14.2</v>
      </c>
      <c r="Q58" s="9">
        <v>11.3</v>
      </c>
      <c r="R58" s="8">
        <v>16461</v>
      </c>
      <c r="S58" s="8">
        <v>2134</v>
      </c>
      <c r="T58" s="8">
        <v>1659</v>
      </c>
      <c r="U58" s="9">
        <v>13</v>
      </c>
      <c r="V58" s="9">
        <v>10.1</v>
      </c>
      <c r="W58" s="8">
        <v>17208</v>
      </c>
      <c r="X58" s="8">
        <v>2336</v>
      </c>
      <c r="Y58" s="8">
        <v>1704</v>
      </c>
      <c r="Z58" s="9">
        <v>13.6</v>
      </c>
      <c r="AA58" s="9">
        <v>9.9</v>
      </c>
      <c r="AB58" s="8">
        <v>17815</v>
      </c>
      <c r="AC58" s="8">
        <v>2362</v>
      </c>
      <c r="AD58" s="8">
        <v>1505</v>
      </c>
      <c r="AE58" s="9">
        <v>13.3</v>
      </c>
      <c r="AF58" s="9">
        <v>8.4</v>
      </c>
      <c r="AG58" s="8">
        <v>18783</v>
      </c>
      <c r="AH58" s="8">
        <v>2484</v>
      </c>
      <c r="AI58" s="9">
        <v>13.2</v>
      </c>
    </row>
  </sheetData>
  <autoFilter ref="A1:AI1" xr:uid="{1288F216-4A07-4EFF-8E25-14CB70AE4DD9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9695-10A2-4B11-B6FC-F8A059BC1936}">
  <dimension ref="A1:H72"/>
  <sheetViews>
    <sheetView showGridLines="0" workbookViewId="0"/>
  </sheetViews>
  <sheetFormatPr defaultRowHeight="16.5" x14ac:dyDescent="0.3"/>
  <cols>
    <col min="1" max="1" width="24.625" customWidth="1"/>
    <col min="2" max="8" width="13.625" customWidth="1"/>
  </cols>
  <sheetData>
    <row r="1" spans="1:8" ht="19.5" x14ac:dyDescent="0.3">
      <c r="A1" s="11" t="s">
        <v>144</v>
      </c>
    </row>
    <row r="2" spans="1:8" x14ac:dyDescent="0.3">
      <c r="A2" s="12" t="s">
        <v>145</v>
      </c>
      <c r="B2" s="12">
        <v>2019</v>
      </c>
      <c r="C2" s="12">
        <v>2020</v>
      </c>
      <c r="D2" s="12">
        <v>2021</v>
      </c>
      <c r="E2" s="12">
        <v>2022</v>
      </c>
      <c r="F2" s="12">
        <v>2023</v>
      </c>
      <c r="G2" s="12">
        <v>2024</v>
      </c>
      <c r="H2" s="12" t="s">
        <v>146</v>
      </c>
    </row>
    <row r="3" spans="1:8" x14ac:dyDescent="0.3">
      <c r="A3" t="s">
        <v>59</v>
      </c>
      <c r="B3" s="5">
        <f>N(기업생멸_산업별!C47)</f>
        <v>71083</v>
      </c>
      <c r="C3" s="5">
        <f>N(기업생멸_산업별!H47)</f>
        <v>71764</v>
      </c>
      <c r="D3" s="5">
        <f>N(기업생멸_산업별!M47)</f>
        <v>72770</v>
      </c>
      <c r="E3" s="5">
        <f>N(기업생멸_산업별!R47)</f>
        <v>73648</v>
      </c>
      <c r="F3" s="5">
        <f>N(기업생멸_산업별!W47)</f>
        <v>75595</v>
      </c>
      <c r="G3" s="5">
        <f>N(기업생멸_산업별!AB47)</f>
        <v>75085</v>
      </c>
      <c r="H3" s="5">
        <f>N(기업생멸_산업별!AG47)</f>
        <v>75809</v>
      </c>
    </row>
    <row r="4" spans="1:8" x14ac:dyDescent="0.3">
      <c r="A4" t="s">
        <v>64</v>
      </c>
      <c r="B4" s="5">
        <f>N(기업생멸_산업별!C52)</f>
        <v>55658</v>
      </c>
      <c r="C4" s="5">
        <f>N(기업생멸_산업별!H52)</f>
        <v>59952</v>
      </c>
      <c r="D4" s="5">
        <f>N(기업생멸_산업별!M52)</f>
        <v>61205</v>
      </c>
      <c r="E4" s="5">
        <f>N(기업생멸_산업별!R52)</f>
        <v>61224</v>
      </c>
      <c r="F4" s="5">
        <f>N(기업생멸_산업별!W52)</f>
        <v>61889</v>
      </c>
      <c r="G4" s="5">
        <f>N(기업생멸_산업별!AB52)</f>
        <v>62110</v>
      </c>
      <c r="H4" s="5">
        <f>N(기업생멸_산업별!AG52)</f>
        <v>61450</v>
      </c>
    </row>
    <row r="5" spans="1:8" x14ac:dyDescent="0.3">
      <c r="A5" t="s">
        <v>61</v>
      </c>
      <c r="B5" s="5">
        <f>N(기업생멸_산업별!C49)</f>
        <v>38836</v>
      </c>
      <c r="C5" s="5">
        <f>N(기업생멸_산업별!H49)</f>
        <v>38619</v>
      </c>
      <c r="D5" s="5">
        <f>N(기업생멸_산업별!M49)</f>
        <v>38699</v>
      </c>
      <c r="E5" s="5">
        <f>N(기업생멸_산업별!R49)</f>
        <v>38671</v>
      </c>
      <c r="F5" s="5">
        <f>N(기업생멸_산업별!W49)</f>
        <v>40068</v>
      </c>
      <c r="G5" s="5">
        <f>N(기업생멸_산업별!AB49)</f>
        <v>39602</v>
      </c>
      <c r="H5" s="5">
        <f>N(기업생멸_산업별!AG49)</f>
        <v>38665</v>
      </c>
    </row>
    <row r="6" spans="1:8" x14ac:dyDescent="0.3">
      <c r="A6" t="s">
        <v>60</v>
      </c>
      <c r="B6" s="5">
        <f>N(기업생멸_산업별!C48)</f>
        <v>30764</v>
      </c>
      <c r="C6" s="5">
        <f>N(기업생멸_산업별!H48)</f>
        <v>31044</v>
      </c>
      <c r="D6" s="5">
        <f>N(기업생멸_산업별!M48)</f>
        <v>31413</v>
      </c>
      <c r="E6" s="5">
        <f>N(기업생멸_산업별!R48)</f>
        <v>31760</v>
      </c>
      <c r="F6" s="5">
        <f>N(기업생멸_산업별!W48)</f>
        <v>32331</v>
      </c>
      <c r="G6" s="5">
        <f>N(기업생멸_산업별!AB48)</f>
        <v>32526</v>
      </c>
      <c r="H6" s="5">
        <f>N(기업생멸_산업별!AG48)</f>
        <v>32656</v>
      </c>
    </row>
    <row r="7" spans="1:8" x14ac:dyDescent="0.3">
      <c r="A7" t="s">
        <v>55</v>
      </c>
      <c r="B7" s="5">
        <f>N(기업생멸_산업별!C43)</f>
        <v>31820</v>
      </c>
      <c r="C7" s="5">
        <f>N(기업생멸_산업별!H43)</f>
        <v>31763</v>
      </c>
      <c r="D7" s="5">
        <f>N(기업생멸_산업별!M43)</f>
        <v>31889</v>
      </c>
      <c r="E7" s="5">
        <f>N(기업생멸_산업별!R43)</f>
        <v>31668</v>
      </c>
      <c r="F7" s="5">
        <f>N(기업생멸_산업별!W43)</f>
        <v>31666</v>
      </c>
      <c r="G7" s="5">
        <f>N(기업생멸_산업별!AB43)</f>
        <v>31177</v>
      </c>
      <c r="H7" s="5">
        <f>N(기업생멸_산업별!AG43)</f>
        <v>30738</v>
      </c>
    </row>
    <row r="8" spans="1:8" x14ac:dyDescent="0.3">
      <c r="A8" t="s">
        <v>58</v>
      </c>
      <c r="B8" s="5">
        <f>N(기업생멸_산업별!C46)</f>
        <v>17757</v>
      </c>
      <c r="C8" s="5">
        <f>N(기업생멸_산업별!H46)</f>
        <v>18629</v>
      </c>
      <c r="D8" s="5">
        <f>N(기업생멸_산업별!M46)</f>
        <v>19632</v>
      </c>
      <c r="E8" s="5">
        <f>N(기업생멸_산업별!R46)</f>
        <v>20239</v>
      </c>
      <c r="F8" s="5">
        <f>N(기업생멸_산업별!W46)</f>
        <v>21232</v>
      </c>
      <c r="G8" s="5">
        <f>N(기업생멸_산업별!AB46)</f>
        <v>21419</v>
      </c>
      <c r="H8" s="5">
        <f>N(기업생멸_산업별!AG46)</f>
        <v>21457</v>
      </c>
    </row>
    <row r="9" spans="1:8" x14ac:dyDescent="0.3">
      <c r="A9" t="s">
        <v>147</v>
      </c>
      <c r="B9" s="5">
        <f>B10-SUM(B3:B8)</f>
        <v>50266</v>
      </c>
      <c r="C9" s="5">
        <f>C10-SUM(C3:C8)</f>
        <v>52108</v>
      </c>
      <c r="D9" s="5">
        <f>D10-SUM(D3:D8)</f>
        <v>54332</v>
      </c>
      <c r="E9" s="5">
        <f>E10-SUM(E3:E8)</f>
        <v>56261</v>
      </c>
      <c r="F9" s="5">
        <f>F10-SUM(F3:F8)</f>
        <v>59179</v>
      </c>
      <c r="G9" s="5">
        <f>G10-SUM(G3:G8)</f>
        <v>61527</v>
      </c>
      <c r="H9" s="5">
        <f>H10-SUM(H3:H8)</f>
        <v>64680</v>
      </c>
    </row>
    <row r="10" spans="1:8" x14ac:dyDescent="0.3">
      <c r="A10" s="10" t="s">
        <v>148</v>
      </c>
      <c r="B10" s="5">
        <f>N(기업생멸_산업별!C40)</f>
        <v>296184</v>
      </c>
      <c r="C10" s="5">
        <f>N(기업생멸_산업별!H40)</f>
        <v>303879</v>
      </c>
      <c r="D10" s="5">
        <f>N(기업생멸_산업별!M40)</f>
        <v>309940</v>
      </c>
      <c r="E10" s="5">
        <f>N(기업생멸_산업별!R40)</f>
        <v>313471</v>
      </c>
      <c r="F10" s="5">
        <f>N(기업생멸_산업별!W40)</f>
        <v>321960</v>
      </c>
      <c r="G10" s="5">
        <f>N(기업생멸_산업별!AB40)</f>
        <v>323446</v>
      </c>
      <c r="H10" s="5">
        <f>N(기업생멸_산업별!AG40)</f>
        <v>325455</v>
      </c>
    </row>
    <row r="63" spans="1:8" ht="19.5" x14ac:dyDescent="0.3">
      <c r="A63" s="11" t="s">
        <v>149</v>
      </c>
    </row>
    <row r="64" spans="1:8" x14ac:dyDescent="0.3">
      <c r="A64" s="12" t="s">
        <v>145</v>
      </c>
      <c r="B64" s="12">
        <v>2019</v>
      </c>
      <c r="C64" s="12">
        <v>2020</v>
      </c>
      <c r="D64" s="12">
        <v>2021</v>
      </c>
      <c r="E64" s="12">
        <v>2022</v>
      </c>
      <c r="F64" s="12">
        <v>2023</v>
      </c>
      <c r="G64" s="12">
        <v>2024</v>
      </c>
      <c r="H64" s="12" t="s">
        <v>146</v>
      </c>
    </row>
    <row r="65" spans="1:8" x14ac:dyDescent="0.3">
      <c r="A65" t="s">
        <v>59</v>
      </c>
      <c r="B65" s="5">
        <f>N(기업생멸_산업별!D47)</f>
        <v>9715</v>
      </c>
      <c r="C65" s="5">
        <f>N(기업생멸_산업별!I47)</f>
        <v>9606</v>
      </c>
      <c r="D65" s="5">
        <f>N(기업생멸_산업별!N47)</f>
        <v>9585</v>
      </c>
      <c r="E65" s="5">
        <f>N(기업생멸_산업별!S47)</f>
        <v>9575</v>
      </c>
      <c r="F65" s="5">
        <f>N(기업생멸_산업별!X47)</f>
        <v>9853</v>
      </c>
      <c r="G65" s="5">
        <f>N(기업생멸_산업별!AC47)</f>
        <v>8813</v>
      </c>
      <c r="H65" s="5">
        <f>N(기업생멸_산업별!AH47)</f>
        <v>9757</v>
      </c>
    </row>
    <row r="66" spans="1:8" x14ac:dyDescent="0.3">
      <c r="A66" t="s">
        <v>64</v>
      </c>
      <c r="B66" s="5">
        <f>N(기업생멸_산업별!D52)</f>
        <v>7993</v>
      </c>
      <c r="C66" s="5">
        <f>N(기업생멸_산업별!I52)</f>
        <v>10663</v>
      </c>
      <c r="D66" s="5">
        <f>N(기업생멸_산업별!N52)</f>
        <v>8383</v>
      </c>
      <c r="E66" s="5">
        <f>N(기업생멸_산업별!S52)</f>
        <v>7062</v>
      </c>
      <c r="F66" s="5">
        <f>N(기업생멸_산업별!X52)</f>
        <v>6055</v>
      </c>
      <c r="G66" s="5">
        <f>N(기업생멸_산업별!AC52)</f>
        <v>5699</v>
      </c>
      <c r="H66" s="5">
        <f>N(기업생멸_산업별!AH52)</f>
        <v>5141</v>
      </c>
    </row>
    <row r="67" spans="1:8" x14ac:dyDescent="0.3">
      <c r="A67" t="s">
        <v>61</v>
      </c>
      <c r="B67" s="5">
        <f>N(기업생멸_산업별!D49)</f>
        <v>7860</v>
      </c>
      <c r="C67" s="5">
        <f>N(기업생멸_산업별!I49)</f>
        <v>6817</v>
      </c>
      <c r="D67" s="5">
        <f>N(기업생멸_산업별!N49)</f>
        <v>6703</v>
      </c>
      <c r="E67" s="5">
        <f>N(기업생멸_산업별!S49)</f>
        <v>6095</v>
      </c>
      <c r="F67" s="5">
        <f>N(기업생멸_산업별!X49)</f>
        <v>6763</v>
      </c>
      <c r="G67" s="5">
        <f>N(기업생멸_산업별!AC49)</f>
        <v>6084</v>
      </c>
      <c r="H67" s="5">
        <f>N(기업생멸_산업별!AH49)</f>
        <v>5355</v>
      </c>
    </row>
    <row r="68" spans="1:8" x14ac:dyDescent="0.3">
      <c r="A68" t="s">
        <v>60</v>
      </c>
      <c r="B68" s="5">
        <f>N(기업생멸_산업별!D48)</f>
        <v>2211</v>
      </c>
      <c r="C68" s="5">
        <f>N(기업생멸_산업별!I48)</f>
        <v>2165</v>
      </c>
      <c r="D68" s="5">
        <f>N(기업생멸_산업별!N48)</f>
        <v>2256</v>
      </c>
      <c r="E68" s="5">
        <f>N(기업생멸_산업별!S48)</f>
        <v>2510</v>
      </c>
      <c r="F68" s="5">
        <f>N(기업생멸_산업별!X48)</f>
        <v>2615</v>
      </c>
      <c r="G68" s="5">
        <f>N(기업생멸_산업별!AC48)</f>
        <v>2465</v>
      </c>
      <c r="H68" s="5">
        <f>N(기업생멸_산업별!AH48)</f>
        <v>2363</v>
      </c>
    </row>
    <row r="69" spans="1:8" x14ac:dyDescent="0.3">
      <c r="A69" t="s">
        <v>55</v>
      </c>
      <c r="B69" s="5">
        <f>N(기업생멸_산업별!D43)</f>
        <v>2150</v>
      </c>
      <c r="C69" s="5">
        <f>N(기업생멸_산업별!I43)</f>
        <v>2072</v>
      </c>
      <c r="D69" s="5">
        <f>N(기업생멸_산업별!N43)</f>
        <v>2172</v>
      </c>
      <c r="E69" s="5">
        <f>N(기업생멸_산업별!S43)</f>
        <v>1697</v>
      </c>
      <c r="F69" s="5">
        <f>N(기업생멸_산업별!X43)</f>
        <v>1624</v>
      </c>
      <c r="G69" s="5">
        <f>N(기업생멸_산업별!AC43)</f>
        <v>1513</v>
      </c>
      <c r="H69" s="5">
        <f>N(기업생멸_산업별!AH43)</f>
        <v>1479</v>
      </c>
    </row>
    <row r="70" spans="1:8" x14ac:dyDescent="0.3">
      <c r="A70" t="s">
        <v>58</v>
      </c>
      <c r="B70" s="5">
        <f>N(기업생멸_산업별!D46)</f>
        <v>1967</v>
      </c>
      <c r="C70" s="5">
        <f>N(기업생멸_산업별!I46)</f>
        <v>2182</v>
      </c>
      <c r="D70" s="5">
        <f>N(기업생멸_산업별!N46)</f>
        <v>2173</v>
      </c>
      <c r="E70" s="5">
        <f>N(기업생멸_산업별!S46)</f>
        <v>1997</v>
      </c>
      <c r="F70" s="5">
        <f>N(기업생멸_산업별!X46)</f>
        <v>2003</v>
      </c>
      <c r="G70" s="5">
        <f>N(기업생멸_산업별!AC46)</f>
        <v>1940</v>
      </c>
      <c r="H70" s="5">
        <f>N(기업생멸_산업별!AH46)</f>
        <v>1845</v>
      </c>
    </row>
    <row r="71" spans="1:8" x14ac:dyDescent="0.3">
      <c r="A71" t="s">
        <v>147</v>
      </c>
      <c r="B71" s="5">
        <f>B72-SUM(B65:B70)</f>
        <v>8108</v>
      </c>
      <c r="C71" s="5">
        <f>C72-SUM(C65:C70)</f>
        <v>7899</v>
      </c>
      <c r="D71" s="5">
        <f>D72-SUM(D65:D70)</f>
        <v>7989</v>
      </c>
      <c r="E71" s="5">
        <f>E72-SUM(E65:E70)</f>
        <v>7717</v>
      </c>
      <c r="F71" s="5">
        <f>F72-SUM(F65:F70)</f>
        <v>7932</v>
      </c>
      <c r="G71" s="5">
        <f>G72-SUM(G65:G70)</f>
        <v>8385</v>
      </c>
      <c r="H71" s="5">
        <f>H72-SUM(H65:H70)</f>
        <v>8933</v>
      </c>
    </row>
    <row r="72" spans="1:8" x14ac:dyDescent="0.3">
      <c r="A72" s="10" t="s">
        <v>148</v>
      </c>
      <c r="B72" s="5">
        <f>N(기업생멸_산업별!D40)</f>
        <v>40004</v>
      </c>
      <c r="C72" s="5">
        <f>N(기업생멸_산업별!I40)</f>
        <v>41404</v>
      </c>
      <c r="D72" s="5">
        <f>N(기업생멸_산업별!N40)</f>
        <v>39261</v>
      </c>
      <c r="E72" s="5">
        <f>N(기업생멸_산업별!S40)</f>
        <v>36653</v>
      </c>
      <c r="F72" s="5">
        <f>N(기업생멸_산업별!X40)</f>
        <v>36845</v>
      </c>
      <c r="G72" s="5">
        <f>N(기업생멸_산업별!AC40)</f>
        <v>34899</v>
      </c>
      <c r="H72" s="5">
        <f>N(기업생멸_산업별!AH40)</f>
        <v>34873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52D0-A710-4925-BA13-91603231DA2D}">
  <dimension ref="A1:AH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6.5" x14ac:dyDescent="0.3"/>
  <cols>
    <col min="1" max="1" width="14.625" customWidth="1"/>
    <col min="2" max="34" width="12.625" customWidth="1"/>
  </cols>
  <sheetData>
    <row r="1" spans="1:34" ht="32.1" customHeight="1" x14ac:dyDescent="0.3">
      <c r="A1" s="4" t="s">
        <v>16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</row>
    <row r="2" spans="1:34" x14ac:dyDescent="0.3">
      <c r="A2" t="s">
        <v>51</v>
      </c>
      <c r="B2" s="5">
        <v>6576661</v>
      </c>
      <c r="C2" s="5">
        <v>1005463</v>
      </c>
      <c r="D2" s="5">
        <v>743882</v>
      </c>
      <c r="E2" s="6">
        <v>15.3</v>
      </c>
      <c r="F2" s="6">
        <v>11.3</v>
      </c>
      <c r="G2" s="5">
        <v>6873228</v>
      </c>
      <c r="H2" s="5">
        <v>1068917</v>
      </c>
      <c r="I2" s="5">
        <v>768274</v>
      </c>
      <c r="J2" s="6">
        <v>15.6</v>
      </c>
      <c r="K2" s="6">
        <v>11.2</v>
      </c>
      <c r="L2" s="5">
        <v>7113059</v>
      </c>
      <c r="M2" s="5">
        <v>1033758</v>
      </c>
      <c r="N2" s="5">
        <v>735422</v>
      </c>
      <c r="O2" s="6">
        <v>14.5</v>
      </c>
      <c r="P2" s="6">
        <v>10.3</v>
      </c>
      <c r="Q2" s="5">
        <v>7352787</v>
      </c>
      <c r="R2" s="5">
        <v>997471</v>
      </c>
      <c r="S2" s="5">
        <v>750657</v>
      </c>
      <c r="T2" s="6">
        <v>13.6</v>
      </c>
      <c r="U2" s="6">
        <v>10.199999999999999</v>
      </c>
      <c r="V2" s="5">
        <v>7538736</v>
      </c>
      <c r="W2" s="5">
        <v>955941</v>
      </c>
      <c r="X2" s="5">
        <v>790516</v>
      </c>
      <c r="Y2" s="6">
        <v>12.7</v>
      </c>
      <c r="Z2" s="6">
        <v>10.5</v>
      </c>
      <c r="AA2" s="5">
        <v>7641751</v>
      </c>
      <c r="AB2" s="5">
        <v>922413</v>
      </c>
      <c r="AC2" s="5">
        <v>769411</v>
      </c>
      <c r="AD2" s="6">
        <v>12.1</v>
      </c>
      <c r="AE2" s="6">
        <v>10.1</v>
      </c>
      <c r="AF2" s="5">
        <v>7748044</v>
      </c>
      <c r="AG2" s="5">
        <v>908468</v>
      </c>
      <c r="AH2" s="6">
        <v>11.7</v>
      </c>
    </row>
    <row r="3" spans="1:34" x14ac:dyDescent="0.3">
      <c r="A3" t="s">
        <v>71</v>
      </c>
      <c r="B3" s="5">
        <v>1416327</v>
      </c>
      <c r="C3" s="5">
        <v>204014</v>
      </c>
      <c r="D3" s="5">
        <v>157448</v>
      </c>
      <c r="E3" s="6">
        <v>14.4</v>
      </c>
      <c r="F3" s="6">
        <v>11.1</v>
      </c>
      <c r="G3" s="5">
        <v>1461453</v>
      </c>
      <c r="H3" s="5">
        <v>217009</v>
      </c>
      <c r="I3" s="5">
        <v>167851</v>
      </c>
      <c r="J3" s="6">
        <v>14.8</v>
      </c>
      <c r="K3" s="6">
        <v>11.5</v>
      </c>
      <c r="L3" s="5">
        <v>1477255</v>
      </c>
      <c r="M3" s="5">
        <v>200029</v>
      </c>
      <c r="N3" s="5">
        <v>151670</v>
      </c>
      <c r="O3" s="6">
        <v>13.5</v>
      </c>
      <c r="P3" s="6">
        <v>10.3</v>
      </c>
      <c r="Q3" s="5">
        <v>1506361</v>
      </c>
      <c r="R3" s="5">
        <v>195073</v>
      </c>
      <c r="S3" s="5">
        <v>150154</v>
      </c>
      <c r="T3" s="6">
        <v>12.9</v>
      </c>
      <c r="U3" s="6">
        <v>10</v>
      </c>
      <c r="V3" s="5">
        <v>1530152</v>
      </c>
      <c r="W3" s="5">
        <v>182462</v>
      </c>
      <c r="X3" s="5">
        <v>156144</v>
      </c>
      <c r="Y3" s="6">
        <v>11.9</v>
      </c>
      <c r="Z3" s="6">
        <v>10.199999999999999</v>
      </c>
      <c r="AA3" s="5">
        <v>1529158</v>
      </c>
      <c r="AB3" s="5">
        <v>170586</v>
      </c>
      <c r="AC3" s="5">
        <v>150373</v>
      </c>
      <c r="AD3" s="6">
        <v>11.2</v>
      </c>
      <c r="AE3" s="6">
        <v>9.8000000000000007</v>
      </c>
      <c r="AF3" s="5">
        <v>1537220</v>
      </c>
      <c r="AG3" s="5">
        <v>171459</v>
      </c>
      <c r="AH3" s="6">
        <v>11.2</v>
      </c>
    </row>
    <row r="4" spans="1:34" x14ac:dyDescent="0.3">
      <c r="A4" t="s">
        <v>74</v>
      </c>
      <c r="B4" s="5">
        <v>426396</v>
      </c>
      <c r="C4" s="5">
        <v>59156</v>
      </c>
      <c r="D4" s="5">
        <v>46238</v>
      </c>
      <c r="E4" s="6">
        <v>13.9</v>
      </c>
      <c r="F4" s="6">
        <v>10.8</v>
      </c>
      <c r="G4" s="5">
        <v>439833</v>
      </c>
      <c r="H4" s="5">
        <v>61778</v>
      </c>
      <c r="I4" s="5">
        <v>48049</v>
      </c>
      <c r="J4" s="6">
        <v>14</v>
      </c>
      <c r="K4" s="6">
        <v>10.9</v>
      </c>
      <c r="L4" s="5">
        <v>448653</v>
      </c>
      <c r="M4" s="5">
        <v>58947</v>
      </c>
      <c r="N4" s="5">
        <v>46383</v>
      </c>
      <c r="O4" s="6">
        <v>13.1</v>
      </c>
      <c r="P4" s="6">
        <v>10.3</v>
      </c>
      <c r="Q4" s="5">
        <v>457428</v>
      </c>
      <c r="R4" s="5">
        <v>57279</v>
      </c>
      <c r="S4" s="5">
        <v>45899</v>
      </c>
      <c r="T4" s="6">
        <v>12.5</v>
      </c>
      <c r="U4" s="6">
        <v>10</v>
      </c>
      <c r="V4" s="5">
        <v>462846</v>
      </c>
      <c r="W4" s="5">
        <v>53074</v>
      </c>
      <c r="X4" s="5">
        <v>56122</v>
      </c>
      <c r="Y4" s="6">
        <v>11.5</v>
      </c>
      <c r="Z4" s="6">
        <v>12.1</v>
      </c>
      <c r="AA4" s="5">
        <v>453922</v>
      </c>
      <c r="AB4" s="5">
        <v>49531</v>
      </c>
      <c r="AC4" s="5">
        <v>46100</v>
      </c>
      <c r="AD4" s="6">
        <v>10.9</v>
      </c>
      <c r="AE4" s="6">
        <v>10.199999999999999</v>
      </c>
      <c r="AF4" s="5">
        <v>455266</v>
      </c>
      <c r="AG4" s="5">
        <v>49921</v>
      </c>
      <c r="AH4" s="6">
        <v>11</v>
      </c>
    </row>
    <row r="5" spans="1:34" x14ac:dyDescent="0.3">
      <c r="A5" s="7" t="s">
        <v>72</v>
      </c>
      <c r="B5" s="8">
        <v>296184</v>
      </c>
      <c r="C5" s="8">
        <v>40004</v>
      </c>
      <c r="D5" s="8">
        <v>31981</v>
      </c>
      <c r="E5" s="9">
        <v>13.5</v>
      </c>
      <c r="F5" s="9">
        <v>10.8</v>
      </c>
      <c r="G5" s="8">
        <v>303879</v>
      </c>
      <c r="H5" s="8">
        <v>41404</v>
      </c>
      <c r="I5" s="8">
        <v>31820</v>
      </c>
      <c r="J5" s="9">
        <v>13.6</v>
      </c>
      <c r="K5" s="9">
        <v>10.5</v>
      </c>
      <c r="L5" s="8">
        <v>309940</v>
      </c>
      <c r="M5" s="8">
        <v>39261</v>
      </c>
      <c r="N5" s="8">
        <v>31724</v>
      </c>
      <c r="O5" s="9">
        <v>12.7</v>
      </c>
      <c r="P5" s="9">
        <v>10.199999999999999</v>
      </c>
      <c r="Q5" s="8">
        <v>313471</v>
      </c>
      <c r="R5" s="8">
        <v>36653</v>
      </c>
      <c r="S5" s="8">
        <v>30390</v>
      </c>
      <c r="T5" s="9">
        <v>11.7</v>
      </c>
      <c r="U5" s="9">
        <v>9.6999999999999993</v>
      </c>
      <c r="V5" s="8">
        <v>321960</v>
      </c>
      <c r="W5" s="8">
        <v>36845</v>
      </c>
      <c r="X5" s="8">
        <v>32150</v>
      </c>
      <c r="Y5" s="9">
        <v>11.4</v>
      </c>
      <c r="Z5" s="9">
        <v>10</v>
      </c>
      <c r="AA5" s="8">
        <v>323446</v>
      </c>
      <c r="AB5" s="8">
        <v>34899</v>
      </c>
      <c r="AC5" s="8">
        <v>31529</v>
      </c>
      <c r="AD5" s="9">
        <v>10.8</v>
      </c>
      <c r="AE5" s="9">
        <v>9.6999999999999993</v>
      </c>
      <c r="AF5" s="8">
        <v>325455</v>
      </c>
      <c r="AG5" s="8">
        <v>34873</v>
      </c>
      <c r="AH5" s="9">
        <v>10.7</v>
      </c>
    </row>
    <row r="6" spans="1:34" x14ac:dyDescent="0.3">
      <c r="A6" t="s">
        <v>75</v>
      </c>
      <c r="B6" s="5">
        <v>350252</v>
      </c>
      <c r="C6" s="5">
        <v>66439</v>
      </c>
      <c r="D6" s="5">
        <v>44272</v>
      </c>
      <c r="E6" s="6">
        <v>19</v>
      </c>
      <c r="F6" s="6">
        <v>12.6</v>
      </c>
      <c r="G6" s="5">
        <v>366284</v>
      </c>
      <c r="H6" s="5">
        <v>62764</v>
      </c>
      <c r="I6" s="5">
        <v>43912</v>
      </c>
      <c r="J6" s="6">
        <v>17.100000000000001</v>
      </c>
      <c r="K6" s="6">
        <v>12</v>
      </c>
      <c r="L6" s="5">
        <v>384241</v>
      </c>
      <c r="M6" s="5">
        <v>62536</v>
      </c>
      <c r="N6" s="5">
        <v>42632</v>
      </c>
      <c r="O6" s="6">
        <v>16.3</v>
      </c>
      <c r="P6" s="6">
        <v>11.1</v>
      </c>
      <c r="Q6" s="5">
        <v>403387</v>
      </c>
      <c r="R6" s="5">
        <v>62173</v>
      </c>
      <c r="S6" s="5">
        <v>43278</v>
      </c>
      <c r="T6" s="6">
        <v>15.4</v>
      </c>
      <c r="U6" s="6">
        <v>10.7</v>
      </c>
      <c r="V6" s="5">
        <v>420566</v>
      </c>
      <c r="W6" s="5">
        <v>60804</v>
      </c>
      <c r="X6" s="5">
        <v>47076</v>
      </c>
      <c r="Y6" s="6">
        <v>14.5</v>
      </c>
      <c r="Z6" s="6">
        <v>11.2</v>
      </c>
      <c r="AA6" s="5">
        <v>429976</v>
      </c>
      <c r="AB6" s="5">
        <v>57731</v>
      </c>
      <c r="AC6" s="5">
        <v>46303</v>
      </c>
      <c r="AD6" s="6">
        <v>13.4</v>
      </c>
      <c r="AE6" s="6">
        <v>10.8</v>
      </c>
      <c r="AF6" s="5">
        <v>439513</v>
      </c>
      <c r="AG6" s="5">
        <v>57199</v>
      </c>
      <c r="AH6" s="6">
        <v>13</v>
      </c>
    </row>
    <row r="7" spans="1:34" x14ac:dyDescent="0.3">
      <c r="A7" t="s">
        <v>76</v>
      </c>
      <c r="B7" s="5">
        <v>171179</v>
      </c>
      <c r="C7" s="5">
        <v>26102</v>
      </c>
      <c r="D7" s="5">
        <v>20194</v>
      </c>
      <c r="E7" s="6">
        <v>15.2</v>
      </c>
      <c r="F7" s="6">
        <v>11.8</v>
      </c>
      <c r="G7" s="5">
        <v>177022</v>
      </c>
      <c r="H7" s="5">
        <v>26737</v>
      </c>
      <c r="I7" s="5">
        <v>19813</v>
      </c>
      <c r="J7" s="6">
        <v>15.1</v>
      </c>
      <c r="K7" s="6">
        <v>11.2</v>
      </c>
      <c r="L7" s="5">
        <v>181911</v>
      </c>
      <c r="M7" s="5">
        <v>25647</v>
      </c>
      <c r="N7" s="5">
        <v>19144</v>
      </c>
      <c r="O7" s="6">
        <v>14.1</v>
      </c>
      <c r="P7" s="6">
        <v>10.5</v>
      </c>
      <c r="Q7" s="5">
        <v>186749</v>
      </c>
      <c r="R7" s="5">
        <v>24900</v>
      </c>
      <c r="S7" s="5">
        <v>19622</v>
      </c>
      <c r="T7" s="6">
        <v>13.3</v>
      </c>
      <c r="U7" s="6">
        <v>10.5</v>
      </c>
      <c r="V7" s="5">
        <v>189290</v>
      </c>
      <c r="W7" s="5">
        <v>23253</v>
      </c>
      <c r="X7" s="5">
        <v>19961</v>
      </c>
      <c r="Y7" s="6">
        <v>12.3</v>
      </c>
      <c r="Z7" s="6">
        <v>10.5</v>
      </c>
      <c r="AA7" s="5">
        <v>190887</v>
      </c>
      <c r="AB7" s="5">
        <v>22402</v>
      </c>
      <c r="AC7" s="5">
        <v>19839</v>
      </c>
      <c r="AD7" s="6">
        <v>11.7</v>
      </c>
      <c r="AE7" s="6">
        <v>10.4</v>
      </c>
      <c r="AF7" s="5">
        <v>190925</v>
      </c>
      <c r="AG7" s="5">
        <v>21115</v>
      </c>
      <c r="AH7" s="6">
        <v>11.1</v>
      </c>
    </row>
    <row r="8" spans="1:34" x14ac:dyDescent="0.3">
      <c r="A8" t="s">
        <v>77</v>
      </c>
      <c r="B8" s="5">
        <v>175750</v>
      </c>
      <c r="C8" s="5">
        <v>26004</v>
      </c>
      <c r="D8" s="5">
        <v>20267</v>
      </c>
      <c r="E8" s="6">
        <v>14.8</v>
      </c>
      <c r="F8" s="6">
        <v>11.5</v>
      </c>
      <c r="G8" s="5">
        <v>182917</v>
      </c>
      <c r="H8" s="5">
        <v>28515</v>
      </c>
      <c r="I8" s="5">
        <v>20928</v>
      </c>
      <c r="J8" s="6">
        <v>15.6</v>
      </c>
      <c r="K8" s="6">
        <v>11.4</v>
      </c>
      <c r="L8" s="5">
        <v>186834</v>
      </c>
      <c r="M8" s="5">
        <v>25792</v>
      </c>
      <c r="N8" s="5">
        <v>19416</v>
      </c>
      <c r="O8" s="6">
        <v>13.8</v>
      </c>
      <c r="P8" s="6">
        <v>10.4</v>
      </c>
      <c r="Q8" s="5">
        <v>191724</v>
      </c>
      <c r="R8" s="5">
        <v>25272</v>
      </c>
      <c r="S8" s="5">
        <v>19948</v>
      </c>
      <c r="T8" s="6">
        <v>13.2</v>
      </c>
      <c r="U8" s="6">
        <v>10.4</v>
      </c>
      <c r="V8" s="5">
        <v>195421</v>
      </c>
      <c r="W8" s="5">
        <v>24674</v>
      </c>
      <c r="X8" s="5">
        <v>20916</v>
      </c>
      <c r="Y8" s="6">
        <v>12.6</v>
      </c>
      <c r="Z8" s="6">
        <v>10.7</v>
      </c>
      <c r="AA8" s="5">
        <v>198158</v>
      </c>
      <c r="AB8" s="5">
        <v>24810</v>
      </c>
      <c r="AC8" s="5">
        <v>21069</v>
      </c>
      <c r="AD8" s="6">
        <v>12.5</v>
      </c>
      <c r="AE8" s="6">
        <v>10.6</v>
      </c>
      <c r="AF8" s="5">
        <v>199165</v>
      </c>
      <c r="AG8" s="5">
        <v>23111</v>
      </c>
      <c r="AH8" s="6">
        <v>11.6</v>
      </c>
    </row>
    <row r="9" spans="1:34" x14ac:dyDescent="0.3">
      <c r="A9" t="s">
        <v>78</v>
      </c>
      <c r="B9" s="5">
        <v>125455</v>
      </c>
      <c r="C9" s="5">
        <v>18433</v>
      </c>
      <c r="D9" s="5">
        <v>15294</v>
      </c>
      <c r="E9" s="6">
        <v>14.7</v>
      </c>
      <c r="F9" s="6">
        <v>12.2</v>
      </c>
      <c r="G9" s="5">
        <v>128461</v>
      </c>
      <c r="H9" s="5">
        <v>19081</v>
      </c>
      <c r="I9" s="5">
        <v>15501</v>
      </c>
      <c r="J9" s="6">
        <v>14.9</v>
      </c>
      <c r="K9" s="6">
        <v>12.1</v>
      </c>
      <c r="L9" s="5">
        <v>130501</v>
      </c>
      <c r="M9" s="5">
        <v>18032</v>
      </c>
      <c r="N9" s="5">
        <v>14791</v>
      </c>
      <c r="O9" s="6">
        <v>13.8</v>
      </c>
      <c r="P9" s="6">
        <v>11.3</v>
      </c>
      <c r="Q9" s="5">
        <v>132816</v>
      </c>
      <c r="R9" s="5">
        <v>17397</v>
      </c>
      <c r="S9" s="5">
        <v>14390</v>
      </c>
      <c r="T9" s="6">
        <v>13.1</v>
      </c>
      <c r="U9" s="6">
        <v>10.8</v>
      </c>
      <c r="V9" s="5">
        <v>134683</v>
      </c>
      <c r="W9" s="5">
        <v>16692</v>
      </c>
      <c r="X9" s="5">
        <v>14580</v>
      </c>
      <c r="Y9" s="6">
        <v>12.4</v>
      </c>
      <c r="Z9" s="6">
        <v>10.8</v>
      </c>
      <c r="AA9" s="5">
        <v>134666</v>
      </c>
      <c r="AB9" s="5">
        <v>15274</v>
      </c>
      <c r="AC9" s="5">
        <v>14035</v>
      </c>
      <c r="AD9" s="6">
        <v>11.3</v>
      </c>
      <c r="AE9" s="6">
        <v>10.4</v>
      </c>
      <c r="AF9" s="5">
        <v>135210</v>
      </c>
      <c r="AG9" s="5">
        <v>15107</v>
      </c>
      <c r="AH9" s="6">
        <v>11.2</v>
      </c>
    </row>
    <row r="10" spans="1:34" x14ac:dyDescent="0.3">
      <c r="A10" t="s">
        <v>79</v>
      </c>
      <c r="B10" s="5">
        <v>34502</v>
      </c>
      <c r="C10" s="5">
        <v>7749</v>
      </c>
      <c r="D10" s="5">
        <v>4418</v>
      </c>
      <c r="E10" s="6">
        <v>22.5</v>
      </c>
      <c r="F10" s="6">
        <v>12.8</v>
      </c>
      <c r="G10" s="5">
        <v>38674</v>
      </c>
      <c r="H10" s="5">
        <v>8435</v>
      </c>
      <c r="I10" s="5">
        <v>5203</v>
      </c>
      <c r="J10" s="6">
        <v>21.8</v>
      </c>
      <c r="K10" s="6">
        <v>13.5</v>
      </c>
      <c r="L10" s="5">
        <v>41867</v>
      </c>
      <c r="M10" s="5">
        <v>8347</v>
      </c>
      <c r="N10" s="5">
        <v>4913</v>
      </c>
      <c r="O10" s="6">
        <v>19.899999999999999</v>
      </c>
      <c r="P10" s="6">
        <v>11.7</v>
      </c>
      <c r="Q10" s="5">
        <v>44648</v>
      </c>
      <c r="R10" s="5">
        <v>7678</v>
      </c>
      <c r="S10" s="5">
        <v>4934</v>
      </c>
      <c r="T10" s="6">
        <v>17.2</v>
      </c>
      <c r="U10" s="6">
        <v>11.1</v>
      </c>
      <c r="V10" s="5">
        <v>46678</v>
      </c>
      <c r="W10" s="5">
        <v>6931</v>
      </c>
      <c r="X10" s="5">
        <v>5387</v>
      </c>
      <c r="Y10" s="6">
        <v>14.8</v>
      </c>
      <c r="Z10" s="6">
        <v>11.5</v>
      </c>
      <c r="AA10" s="5">
        <v>47906</v>
      </c>
      <c r="AB10" s="5">
        <v>6655</v>
      </c>
      <c r="AC10" s="5">
        <v>5358</v>
      </c>
      <c r="AD10" s="6">
        <v>13.9</v>
      </c>
      <c r="AE10" s="6">
        <v>11.2</v>
      </c>
      <c r="AF10" s="5">
        <v>48613</v>
      </c>
      <c r="AG10" s="5">
        <v>6415</v>
      </c>
      <c r="AH10" s="6">
        <v>13.2</v>
      </c>
    </row>
    <row r="11" spans="1:34" x14ac:dyDescent="0.3">
      <c r="A11" t="s">
        <v>80</v>
      </c>
      <c r="B11" s="5">
        <v>1684945</v>
      </c>
      <c r="C11" s="5">
        <v>274258</v>
      </c>
      <c r="D11" s="5">
        <v>193096</v>
      </c>
      <c r="E11" s="6">
        <v>16.3</v>
      </c>
      <c r="F11" s="6">
        <v>11.5</v>
      </c>
      <c r="G11" s="5">
        <v>1790631</v>
      </c>
      <c r="H11" s="5">
        <v>300304</v>
      </c>
      <c r="I11" s="5">
        <v>199479</v>
      </c>
      <c r="J11" s="6">
        <v>16.8</v>
      </c>
      <c r="K11" s="6">
        <v>11.1</v>
      </c>
      <c r="L11" s="5">
        <v>1893862</v>
      </c>
      <c r="M11" s="5">
        <v>302738</v>
      </c>
      <c r="N11" s="5">
        <v>200443</v>
      </c>
      <c r="O11" s="6">
        <v>16</v>
      </c>
      <c r="P11" s="6">
        <v>10.6</v>
      </c>
      <c r="Q11" s="5">
        <v>1981680</v>
      </c>
      <c r="R11" s="5">
        <v>289590</v>
      </c>
      <c r="S11" s="5">
        <v>205053</v>
      </c>
      <c r="T11" s="6">
        <v>14.6</v>
      </c>
      <c r="U11" s="6">
        <v>10.3</v>
      </c>
      <c r="V11" s="5">
        <v>2060511</v>
      </c>
      <c r="W11" s="5">
        <v>284254</v>
      </c>
      <c r="X11" s="5">
        <v>217377</v>
      </c>
      <c r="Y11" s="6">
        <v>13.8</v>
      </c>
      <c r="Z11" s="6">
        <v>10.5</v>
      </c>
      <c r="AA11" s="5">
        <v>2118812</v>
      </c>
      <c r="AB11" s="5">
        <v>276371</v>
      </c>
      <c r="AC11" s="5">
        <v>222692</v>
      </c>
      <c r="AD11" s="6">
        <v>13</v>
      </c>
      <c r="AE11" s="6">
        <v>10.5</v>
      </c>
      <c r="AF11" s="5">
        <v>2161838</v>
      </c>
      <c r="AG11" s="5">
        <v>271855</v>
      </c>
      <c r="AH11" s="6">
        <v>12.6</v>
      </c>
    </row>
    <row r="12" spans="1:34" x14ac:dyDescent="0.3">
      <c r="A12" t="s">
        <v>81</v>
      </c>
      <c r="B12" s="5">
        <v>194091</v>
      </c>
      <c r="C12" s="5">
        <v>28561</v>
      </c>
      <c r="D12" s="5">
        <v>21316</v>
      </c>
      <c r="E12" s="6">
        <v>14.7</v>
      </c>
      <c r="F12" s="6">
        <v>11</v>
      </c>
      <c r="G12" s="5">
        <v>202991</v>
      </c>
      <c r="H12" s="5">
        <v>30653</v>
      </c>
      <c r="I12" s="5">
        <v>21809</v>
      </c>
      <c r="J12" s="6">
        <v>15.1</v>
      </c>
      <c r="K12" s="6">
        <v>10.7</v>
      </c>
      <c r="L12" s="5">
        <v>210794</v>
      </c>
      <c r="M12" s="5">
        <v>29833</v>
      </c>
      <c r="N12" s="5">
        <v>20798</v>
      </c>
      <c r="O12" s="6">
        <v>14.2</v>
      </c>
      <c r="P12" s="6">
        <v>9.9</v>
      </c>
      <c r="Q12" s="5">
        <v>219646</v>
      </c>
      <c r="R12" s="5">
        <v>29466</v>
      </c>
      <c r="S12" s="5">
        <v>24550</v>
      </c>
      <c r="T12" s="6">
        <v>13.4</v>
      </c>
      <c r="U12" s="6">
        <v>11.2</v>
      </c>
      <c r="V12" s="5">
        <v>224708</v>
      </c>
      <c r="W12" s="5">
        <v>30069</v>
      </c>
      <c r="X12" s="5">
        <v>22265</v>
      </c>
      <c r="Y12" s="6">
        <v>13.4</v>
      </c>
      <c r="Z12" s="6">
        <v>9.9</v>
      </c>
      <c r="AA12" s="5">
        <v>229683</v>
      </c>
      <c r="AB12" s="5">
        <v>27612</v>
      </c>
      <c r="AC12" s="5">
        <v>21862</v>
      </c>
      <c r="AD12" s="6">
        <v>12</v>
      </c>
      <c r="AE12" s="6">
        <v>9.5</v>
      </c>
      <c r="AF12" s="5">
        <v>235182</v>
      </c>
      <c r="AG12" s="5">
        <v>27887</v>
      </c>
      <c r="AH12" s="6">
        <v>11.9</v>
      </c>
    </row>
    <row r="13" spans="1:34" x14ac:dyDescent="0.3">
      <c r="A13" t="s">
        <v>82</v>
      </c>
      <c r="B13" s="5">
        <v>196881</v>
      </c>
      <c r="C13" s="5">
        <v>29587</v>
      </c>
      <c r="D13" s="5">
        <v>21563</v>
      </c>
      <c r="E13" s="6">
        <v>15</v>
      </c>
      <c r="F13" s="6">
        <v>11</v>
      </c>
      <c r="G13" s="5">
        <v>206154</v>
      </c>
      <c r="H13" s="5">
        <v>31192</v>
      </c>
      <c r="I13" s="5">
        <v>22805</v>
      </c>
      <c r="J13" s="6">
        <v>15.1</v>
      </c>
      <c r="K13" s="6">
        <v>11.1</v>
      </c>
      <c r="L13" s="5">
        <v>212734</v>
      </c>
      <c r="M13" s="5">
        <v>29714</v>
      </c>
      <c r="N13" s="5">
        <v>21124</v>
      </c>
      <c r="O13" s="6">
        <v>14</v>
      </c>
      <c r="P13" s="6">
        <v>9.9</v>
      </c>
      <c r="Q13" s="5">
        <v>220912</v>
      </c>
      <c r="R13" s="5">
        <v>29511</v>
      </c>
      <c r="S13" s="5">
        <v>22112</v>
      </c>
      <c r="T13" s="6">
        <v>13.4</v>
      </c>
      <c r="U13" s="6">
        <v>10</v>
      </c>
      <c r="V13" s="5">
        <v>226187</v>
      </c>
      <c r="W13" s="5">
        <v>27781</v>
      </c>
      <c r="X13" s="5">
        <v>23375</v>
      </c>
      <c r="Y13" s="6">
        <v>12.3</v>
      </c>
      <c r="Z13" s="6">
        <v>10.3</v>
      </c>
      <c r="AA13" s="5">
        <v>230036</v>
      </c>
      <c r="AB13" s="5">
        <v>27390</v>
      </c>
      <c r="AC13" s="5">
        <v>22407</v>
      </c>
      <c r="AD13" s="6">
        <v>11.9</v>
      </c>
      <c r="AE13" s="6">
        <v>9.6999999999999993</v>
      </c>
      <c r="AF13" s="5">
        <v>234705</v>
      </c>
      <c r="AG13" s="5">
        <v>27426</v>
      </c>
      <c r="AH13" s="6">
        <v>11.7</v>
      </c>
    </row>
    <row r="14" spans="1:34" x14ac:dyDescent="0.3">
      <c r="A14" t="s">
        <v>83</v>
      </c>
      <c r="B14" s="5">
        <v>255912</v>
      </c>
      <c r="C14" s="5">
        <v>39568</v>
      </c>
      <c r="D14" s="5">
        <v>28245</v>
      </c>
      <c r="E14" s="6">
        <v>15.5</v>
      </c>
      <c r="F14" s="6">
        <v>11</v>
      </c>
      <c r="G14" s="5">
        <v>271667</v>
      </c>
      <c r="H14" s="5">
        <v>44457</v>
      </c>
      <c r="I14" s="5">
        <v>29997</v>
      </c>
      <c r="J14" s="6">
        <v>16.399999999999999</v>
      </c>
      <c r="K14" s="6">
        <v>11</v>
      </c>
      <c r="L14" s="5">
        <v>283330</v>
      </c>
      <c r="M14" s="5">
        <v>42167</v>
      </c>
      <c r="N14" s="5">
        <v>28568</v>
      </c>
      <c r="O14" s="6">
        <v>14.9</v>
      </c>
      <c r="P14" s="6">
        <v>10.1</v>
      </c>
      <c r="Q14" s="5">
        <v>295299</v>
      </c>
      <c r="R14" s="5">
        <v>40497</v>
      </c>
      <c r="S14" s="5">
        <v>29231</v>
      </c>
      <c r="T14" s="6">
        <v>13.7</v>
      </c>
      <c r="U14" s="6">
        <v>9.9</v>
      </c>
      <c r="V14" s="5">
        <v>305084</v>
      </c>
      <c r="W14" s="5">
        <v>39381</v>
      </c>
      <c r="X14" s="5">
        <v>30000</v>
      </c>
      <c r="Y14" s="6">
        <v>12.9</v>
      </c>
      <c r="Z14" s="6">
        <v>9.8000000000000007</v>
      </c>
      <c r="AA14" s="5">
        <v>314919</v>
      </c>
      <c r="AB14" s="5">
        <v>40677</v>
      </c>
      <c r="AC14" s="5">
        <v>31260</v>
      </c>
      <c r="AD14" s="6">
        <v>12.9</v>
      </c>
      <c r="AE14" s="6">
        <v>9.9</v>
      </c>
      <c r="AF14" s="5">
        <v>321320</v>
      </c>
      <c r="AG14" s="5">
        <v>38266</v>
      </c>
      <c r="AH14" s="6">
        <v>11.9</v>
      </c>
    </row>
    <row r="15" spans="1:34" x14ac:dyDescent="0.3">
      <c r="A15" t="s">
        <v>84</v>
      </c>
      <c r="B15" s="5">
        <v>214924</v>
      </c>
      <c r="C15" s="5">
        <v>33859</v>
      </c>
      <c r="D15" s="5">
        <v>23002</v>
      </c>
      <c r="E15" s="6">
        <v>15.8</v>
      </c>
      <c r="F15" s="6">
        <v>10.7</v>
      </c>
      <c r="G15" s="5">
        <v>227850</v>
      </c>
      <c r="H15" s="5">
        <v>36369</v>
      </c>
      <c r="I15" s="5">
        <v>23632</v>
      </c>
      <c r="J15" s="6">
        <v>16</v>
      </c>
      <c r="K15" s="6">
        <v>10.4</v>
      </c>
      <c r="L15" s="5">
        <v>237179</v>
      </c>
      <c r="M15" s="5">
        <v>33835</v>
      </c>
      <c r="N15" s="5">
        <v>22358</v>
      </c>
      <c r="O15" s="6">
        <v>14.3</v>
      </c>
      <c r="P15" s="6">
        <v>9.4</v>
      </c>
      <c r="Q15" s="5">
        <v>247055</v>
      </c>
      <c r="R15" s="5">
        <v>32656</v>
      </c>
      <c r="S15" s="5">
        <v>23712</v>
      </c>
      <c r="T15" s="6">
        <v>13.2</v>
      </c>
      <c r="U15" s="6">
        <v>9.6</v>
      </c>
      <c r="V15" s="5">
        <v>252334</v>
      </c>
      <c r="W15" s="5">
        <v>30043</v>
      </c>
      <c r="X15" s="5">
        <v>27267</v>
      </c>
      <c r="Y15" s="6">
        <v>11.9</v>
      </c>
      <c r="Z15" s="6">
        <v>10.8</v>
      </c>
      <c r="AA15" s="5">
        <v>256421</v>
      </c>
      <c r="AB15" s="5">
        <v>32128</v>
      </c>
      <c r="AC15" s="5">
        <v>23194</v>
      </c>
      <c r="AD15" s="6">
        <v>12.5</v>
      </c>
      <c r="AE15" s="6">
        <v>9</v>
      </c>
      <c r="AF15" s="5">
        <v>261739</v>
      </c>
      <c r="AG15" s="5">
        <v>29198</v>
      </c>
      <c r="AH15" s="6">
        <v>11.2</v>
      </c>
    </row>
    <row r="16" spans="1:34" x14ac:dyDescent="0.3">
      <c r="A16" t="s">
        <v>85</v>
      </c>
      <c r="B16" s="5">
        <v>215530</v>
      </c>
      <c r="C16" s="5">
        <v>33310</v>
      </c>
      <c r="D16" s="5">
        <v>23247</v>
      </c>
      <c r="E16" s="6">
        <v>15.5</v>
      </c>
      <c r="F16" s="6">
        <v>10.8</v>
      </c>
      <c r="G16" s="5">
        <v>228032</v>
      </c>
      <c r="H16" s="5">
        <v>35954</v>
      </c>
      <c r="I16" s="5">
        <v>23958</v>
      </c>
      <c r="J16" s="6">
        <v>15.8</v>
      </c>
      <c r="K16" s="6">
        <v>10.5</v>
      </c>
      <c r="L16" s="5">
        <v>238600</v>
      </c>
      <c r="M16" s="5">
        <v>34810</v>
      </c>
      <c r="N16" s="5">
        <v>23275</v>
      </c>
      <c r="O16" s="6">
        <v>14.6</v>
      </c>
      <c r="P16" s="6">
        <v>9.8000000000000007</v>
      </c>
      <c r="Q16" s="5">
        <v>247854</v>
      </c>
      <c r="R16" s="5">
        <v>32594</v>
      </c>
      <c r="S16" s="5">
        <v>24969</v>
      </c>
      <c r="T16" s="6">
        <v>13.2</v>
      </c>
      <c r="U16" s="6">
        <v>10.1</v>
      </c>
      <c r="V16" s="5">
        <v>252791</v>
      </c>
      <c r="W16" s="5">
        <v>30585</v>
      </c>
      <c r="X16" s="5">
        <v>24633</v>
      </c>
      <c r="Y16" s="6">
        <v>12.1</v>
      </c>
      <c r="Z16" s="6">
        <v>9.6999999999999993</v>
      </c>
      <c r="AA16" s="5">
        <v>257432</v>
      </c>
      <c r="AB16" s="5">
        <v>29782</v>
      </c>
      <c r="AC16" s="5">
        <v>23974</v>
      </c>
      <c r="AD16" s="6">
        <v>11.6</v>
      </c>
      <c r="AE16" s="6">
        <v>9.3000000000000007</v>
      </c>
      <c r="AF16" s="5">
        <v>261491</v>
      </c>
      <c r="AG16" s="5">
        <v>28623</v>
      </c>
      <c r="AH16" s="6">
        <v>10.9</v>
      </c>
    </row>
    <row r="17" spans="1:34" x14ac:dyDescent="0.3">
      <c r="A17" t="s">
        <v>86</v>
      </c>
      <c r="B17" s="5">
        <v>316952</v>
      </c>
      <c r="C17" s="5">
        <v>44238</v>
      </c>
      <c r="D17" s="5">
        <v>34845</v>
      </c>
      <c r="E17" s="6">
        <v>14</v>
      </c>
      <c r="F17" s="6">
        <v>11</v>
      </c>
      <c r="G17" s="5">
        <v>328098</v>
      </c>
      <c r="H17" s="5">
        <v>46227</v>
      </c>
      <c r="I17" s="5">
        <v>34304</v>
      </c>
      <c r="J17" s="6">
        <v>14.1</v>
      </c>
      <c r="K17" s="6">
        <v>10.5</v>
      </c>
      <c r="L17" s="5">
        <v>341038</v>
      </c>
      <c r="M17" s="5">
        <v>46864</v>
      </c>
      <c r="N17" s="5">
        <v>34082</v>
      </c>
      <c r="O17" s="6">
        <v>13.7</v>
      </c>
      <c r="P17" s="6">
        <v>10</v>
      </c>
      <c r="Q17" s="5">
        <v>351313</v>
      </c>
      <c r="R17" s="5">
        <v>44256</v>
      </c>
      <c r="S17" s="5">
        <v>34614</v>
      </c>
      <c r="T17" s="6">
        <v>12.6</v>
      </c>
      <c r="U17" s="6">
        <v>9.9</v>
      </c>
      <c r="V17" s="5">
        <v>355455</v>
      </c>
      <c r="W17" s="5">
        <v>42024</v>
      </c>
      <c r="X17" s="5">
        <v>34937</v>
      </c>
      <c r="Y17" s="6">
        <v>11.8</v>
      </c>
      <c r="Z17" s="6">
        <v>9.8000000000000007</v>
      </c>
      <c r="AA17" s="5">
        <v>360865</v>
      </c>
      <c r="AB17" s="5">
        <v>41152</v>
      </c>
      <c r="AC17" s="5">
        <v>33284</v>
      </c>
      <c r="AD17" s="6">
        <v>11.4</v>
      </c>
      <c r="AE17" s="6">
        <v>9.1999999999999993</v>
      </c>
      <c r="AF17" s="5">
        <v>368185</v>
      </c>
      <c r="AG17" s="5">
        <v>41304</v>
      </c>
      <c r="AH17" s="6">
        <v>11.2</v>
      </c>
    </row>
    <row r="18" spans="1:34" x14ac:dyDescent="0.3">
      <c r="A18" t="s">
        <v>87</v>
      </c>
      <c r="B18" s="5">
        <v>400251</v>
      </c>
      <c r="C18" s="5">
        <v>56922</v>
      </c>
      <c r="D18" s="5">
        <v>45290</v>
      </c>
      <c r="E18" s="6">
        <v>14.2</v>
      </c>
      <c r="F18" s="6">
        <v>11.3</v>
      </c>
      <c r="G18" s="5">
        <v>414312</v>
      </c>
      <c r="H18" s="5">
        <v>60720</v>
      </c>
      <c r="I18" s="5">
        <v>46608</v>
      </c>
      <c r="J18" s="6">
        <v>14.7</v>
      </c>
      <c r="K18" s="6">
        <v>11.2</v>
      </c>
      <c r="L18" s="5">
        <v>424848</v>
      </c>
      <c r="M18" s="5">
        <v>57818</v>
      </c>
      <c r="N18" s="5">
        <v>42711</v>
      </c>
      <c r="O18" s="6">
        <v>13.6</v>
      </c>
      <c r="P18" s="6">
        <v>10.1</v>
      </c>
      <c r="Q18" s="5">
        <v>437523</v>
      </c>
      <c r="R18" s="5">
        <v>55593</v>
      </c>
      <c r="S18" s="5">
        <v>45025</v>
      </c>
      <c r="T18" s="6">
        <v>12.7</v>
      </c>
      <c r="U18" s="6">
        <v>10.3</v>
      </c>
      <c r="V18" s="5">
        <v>443383</v>
      </c>
      <c r="W18" s="5">
        <v>52220</v>
      </c>
      <c r="X18" s="5">
        <v>45267</v>
      </c>
      <c r="Y18" s="6">
        <v>11.8</v>
      </c>
      <c r="Z18" s="6">
        <v>10.199999999999999</v>
      </c>
      <c r="AA18" s="5">
        <v>447255</v>
      </c>
      <c r="AB18" s="5">
        <v>50543</v>
      </c>
      <c r="AC18" s="5">
        <v>43864</v>
      </c>
      <c r="AD18" s="6">
        <v>11.3</v>
      </c>
      <c r="AE18" s="6">
        <v>9.8000000000000007</v>
      </c>
      <c r="AF18" s="5">
        <v>451804</v>
      </c>
      <c r="AG18" s="5">
        <v>49774</v>
      </c>
      <c r="AH18" s="6">
        <v>11</v>
      </c>
    </row>
    <row r="19" spans="1:34" x14ac:dyDescent="0.3">
      <c r="A19" t="s">
        <v>88</v>
      </c>
      <c r="B19" s="5">
        <v>101130</v>
      </c>
      <c r="C19" s="5">
        <v>17259</v>
      </c>
      <c r="D19" s="5">
        <v>13166</v>
      </c>
      <c r="E19" s="6">
        <v>17.100000000000001</v>
      </c>
      <c r="F19" s="6">
        <v>13</v>
      </c>
      <c r="G19" s="5">
        <v>104970</v>
      </c>
      <c r="H19" s="5">
        <v>17318</v>
      </c>
      <c r="I19" s="5">
        <v>12605</v>
      </c>
      <c r="J19" s="6">
        <v>16.5</v>
      </c>
      <c r="K19" s="6">
        <v>12</v>
      </c>
      <c r="L19" s="5">
        <v>109472</v>
      </c>
      <c r="M19" s="5">
        <v>17388</v>
      </c>
      <c r="N19" s="5">
        <v>11390</v>
      </c>
      <c r="O19" s="6">
        <v>15.9</v>
      </c>
      <c r="P19" s="6">
        <v>10.4</v>
      </c>
      <c r="Q19" s="5">
        <v>114921</v>
      </c>
      <c r="R19" s="5">
        <v>16883</v>
      </c>
      <c r="S19" s="5">
        <v>12776</v>
      </c>
      <c r="T19" s="6">
        <v>14.7</v>
      </c>
      <c r="U19" s="6">
        <v>11.1</v>
      </c>
      <c r="V19" s="5">
        <v>116687</v>
      </c>
      <c r="W19" s="5">
        <v>14849</v>
      </c>
      <c r="X19" s="5">
        <v>13059</v>
      </c>
      <c r="Y19" s="6">
        <v>12.7</v>
      </c>
      <c r="Z19" s="6">
        <v>11.2</v>
      </c>
      <c r="AA19" s="5">
        <v>118209</v>
      </c>
      <c r="AB19" s="5">
        <v>14870</v>
      </c>
      <c r="AC19" s="5">
        <v>12268</v>
      </c>
      <c r="AD19" s="6">
        <v>12.6</v>
      </c>
      <c r="AE19" s="6">
        <v>10.4</v>
      </c>
      <c r="AF19" s="5">
        <v>120413</v>
      </c>
      <c r="AG19" s="5">
        <v>14935</v>
      </c>
      <c r="AH19" s="6">
        <v>12.4</v>
      </c>
    </row>
  </sheetData>
  <autoFilter ref="A1:AH1" xr:uid="{25DE52D0-A710-4925-BA13-91603231DA2D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7BAB-587D-499E-B93C-1E54877AB24B}">
  <dimension ref="A1:H70"/>
  <sheetViews>
    <sheetView showGridLines="0" workbookViewId="0"/>
  </sheetViews>
  <sheetFormatPr defaultRowHeight="16.5" x14ac:dyDescent="0.3"/>
  <cols>
    <col min="1" max="1" width="24.625" customWidth="1"/>
    <col min="2" max="8" width="13.625" customWidth="1"/>
  </cols>
  <sheetData>
    <row r="1" spans="1:8" ht="19.5" x14ac:dyDescent="0.3">
      <c r="A1" s="11" t="s">
        <v>150</v>
      </c>
    </row>
    <row r="2" spans="1:8" x14ac:dyDescent="0.3">
      <c r="A2" s="12" t="s">
        <v>145</v>
      </c>
      <c r="B2" s="12">
        <v>2019</v>
      </c>
      <c r="C2" s="12">
        <v>2020</v>
      </c>
      <c r="D2" s="12">
        <v>2021</v>
      </c>
      <c r="E2" s="12">
        <v>2022</v>
      </c>
      <c r="F2" s="12">
        <v>2023</v>
      </c>
      <c r="G2" s="12">
        <v>2024</v>
      </c>
      <c r="H2" s="12" t="s">
        <v>146</v>
      </c>
    </row>
    <row r="3" spans="1:8" x14ac:dyDescent="0.3">
      <c r="A3" t="s">
        <v>71</v>
      </c>
      <c r="B3" s="5">
        <f>N(기업생멸_시도별!B3)</f>
        <v>1416327</v>
      </c>
      <c r="C3" s="5">
        <f>N(기업생멸_시도별!G3)</f>
        <v>1461453</v>
      </c>
      <c r="D3" s="5">
        <f>N(기업생멸_시도별!L3)</f>
        <v>1477255</v>
      </c>
      <c r="E3" s="5">
        <f>N(기업생멸_시도별!Q3)</f>
        <v>1506361</v>
      </c>
      <c r="F3" s="5">
        <f>N(기업생멸_시도별!V3)</f>
        <v>1530152</v>
      </c>
      <c r="G3" s="5">
        <f>N(기업생멸_시도별!AA3)</f>
        <v>1529158</v>
      </c>
      <c r="H3" s="5">
        <f>N(기업생멸_시도별!AF3)</f>
        <v>1537220</v>
      </c>
    </row>
    <row r="4" spans="1:8" x14ac:dyDescent="0.3">
      <c r="A4" t="s">
        <v>134</v>
      </c>
      <c r="B4" s="5">
        <f>N(기업생멸_시도별!B11)</f>
        <v>1684945</v>
      </c>
      <c r="C4" s="5">
        <f>N(기업생멸_시도별!G11)</f>
        <v>1790631</v>
      </c>
      <c r="D4" s="5">
        <f>N(기업생멸_시도별!L11)</f>
        <v>1893862</v>
      </c>
      <c r="E4" s="5">
        <f>N(기업생멸_시도별!Q11)</f>
        <v>1981680</v>
      </c>
      <c r="F4" s="5">
        <f>N(기업생멸_시도별!V11)</f>
        <v>2060511</v>
      </c>
      <c r="G4" s="5">
        <f>N(기업생멸_시도별!AA11)</f>
        <v>2118812</v>
      </c>
      <c r="H4" s="5">
        <f>N(기업생멸_시도별!AF11)</f>
        <v>2161838</v>
      </c>
    </row>
    <row r="5" spans="1:8" x14ac:dyDescent="0.3">
      <c r="A5" t="s">
        <v>128</v>
      </c>
      <c r="B5" s="5">
        <f>N(기업생멸_시도별!B4)</f>
        <v>426396</v>
      </c>
      <c r="C5" s="5">
        <f>N(기업생멸_시도별!G4)</f>
        <v>439833</v>
      </c>
      <c r="D5" s="5">
        <f>N(기업생멸_시도별!L4)</f>
        <v>448653</v>
      </c>
      <c r="E5" s="5">
        <f>N(기업생멸_시도별!Q4)</f>
        <v>457428</v>
      </c>
      <c r="F5" s="5">
        <f>N(기업생멸_시도별!V4)</f>
        <v>462846</v>
      </c>
      <c r="G5" s="5">
        <f>N(기업생멸_시도별!AA4)</f>
        <v>453922</v>
      </c>
      <c r="H5" s="5">
        <f>N(기업생멸_시도별!AF4)</f>
        <v>455266</v>
      </c>
    </row>
    <row r="6" spans="1:8" x14ac:dyDescent="0.3">
      <c r="A6" t="s">
        <v>72</v>
      </c>
      <c r="B6" s="5">
        <f>N(기업생멸_시도별!B5)</f>
        <v>296184</v>
      </c>
      <c r="C6" s="5">
        <f>N(기업생멸_시도별!G5)</f>
        <v>303879</v>
      </c>
      <c r="D6" s="5">
        <f>N(기업생멸_시도별!L5)</f>
        <v>309940</v>
      </c>
      <c r="E6" s="5">
        <f>N(기업생멸_시도별!Q5)</f>
        <v>313471</v>
      </c>
      <c r="F6" s="5">
        <f>N(기업생멸_시도별!V5)</f>
        <v>321960</v>
      </c>
      <c r="G6" s="5">
        <f>N(기업생멸_시도별!AA5)</f>
        <v>323446</v>
      </c>
      <c r="H6" s="5">
        <f>N(기업생멸_시도별!AF5)</f>
        <v>325455</v>
      </c>
    </row>
    <row r="7" spans="1:8" x14ac:dyDescent="0.3">
      <c r="A7" t="s">
        <v>129</v>
      </c>
      <c r="B7" s="5">
        <f>N(기업생멸_시도별!B6)</f>
        <v>350252</v>
      </c>
      <c r="C7" s="5">
        <f>N(기업생멸_시도별!G6)</f>
        <v>366284</v>
      </c>
      <c r="D7" s="5">
        <f>N(기업생멸_시도별!L6)</f>
        <v>384241</v>
      </c>
      <c r="E7" s="5">
        <f>N(기업생멸_시도별!Q6)</f>
        <v>403387</v>
      </c>
      <c r="F7" s="5">
        <f>N(기업생멸_시도별!V6)</f>
        <v>420566</v>
      </c>
      <c r="G7" s="5">
        <f>N(기업생멸_시도별!AA6)</f>
        <v>429976</v>
      </c>
      <c r="H7" s="5">
        <f>N(기업생멸_시도별!AF6)</f>
        <v>439513</v>
      </c>
    </row>
    <row r="8" spans="1:8" x14ac:dyDescent="0.3">
      <c r="A8" t="s">
        <v>147</v>
      </c>
      <c r="B8" s="5">
        <f>B9-SUM(B3:B7)</f>
        <v>2402557</v>
      </c>
      <c r="C8" s="5">
        <f>C9-SUM(C3:C7)</f>
        <v>2511148</v>
      </c>
      <c r="D8" s="5">
        <f>D9-SUM(D3:D7)</f>
        <v>2599108</v>
      </c>
      <c r="E8" s="5">
        <f>E9-SUM(E3:E7)</f>
        <v>2690460</v>
      </c>
      <c r="F8" s="5">
        <f>F9-SUM(F3:F7)</f>
        <v>2742701</v>
      </c>
      <c r="G8" s="5">
        <f>G9-SUM(G3:G7)</f>
        <v>2786437</v>
      </c>
      <c r="H8" s="5">
        <f>H9-SUM(H3:H7)</f>
        <v>2828752</v>
      </c>
    </row>
    <row r="9" spans="1:8" x14ac:dyDescent="0.3">
      <c r="A9" s="10" t="s">
        <v>148</v>
      </c>
      <c r="B9" s="5">
        <f>N(기업생멸_시도별!B2)</f>
        <v>6576661</v>
      </c>
      <c r="C9" s="5">
        <f>N(기업생멸_시도별!G2)</f>
        <v>6873228</v>
      </c>
      <c r="D9" s="5">
        <f>N(기업생멸_시도별!L2)</f>
        <v>7113059</v>
      </c>
      <c r="E9" s="5">
        <f>N(기업생멸_시도별!Q2)</f>
        <v>7352787</v>
      </c>
      <c r="F9" s="5">
        <f>N(기업생멸_시도별!V2)</f>
        <v>7538736</v>
      </c>
      <c r="G9" s="5">
        <f>N(기업생멸_시도별!AA2)</f>
        <v>7641751</v>
      </c>
      <c r="H9" s="5">
        <f>N(기업생멸_시도별!AF2)</f>
        <v>7748044</v>
      </c>
    </row>
    <row r="62" spans="1:8" ht="19.5" x14ac:dyDescent="0.3">
      <c r="A62" s="11" t="s">
        <v>151</v>
      </c>
    </row>
    <row r="63" spans="1:8" x14ac:dyDescent="0.3">
      <c r="A63" s="12" t="s">
        <v>145</v>
      </c>
      <c r="B63" s="12">
        <v>2019</v>
      </c>
      <c r="C63" s="12">
        <v>2020</v>
      </c>
      <c r="D63" s="12">
        <v>2021</v>
      </c>
      <c r="E63" s="12">
        <v>2022</v>
      </c>
      <c r="F63" s="12">
        <v>2023</v>
      </c>
      <c r="G63" s="12">
        <v>2024</v>
      </c>
      <c r="H63" s="12" t="s">
        <v>146</v>
      </c>
    </row>
    <row r="64" spans="1:8" x14ac:dyDescent="0.3">
      <c r="A64" t="s">
        <v>71</v>
      </c>
      <c r="B64" s="5">
        <f>N(기업생멸_시도별!C3)</f>
        <v>204014</v>
      </c>
      <c r="C64" s="5">
        <f>N(기업생멸_시도별!H3)</f>
        <v>217009</v>
      </c>
      <c r="D64" s="5">
        <f>N(기업생멸_시도별!M3)</f>
        <v>200029</v>
      </c>
      <c r="E64" s="5">
        <f>N(기업생멸_시도별!R3)</f>
        <v>195073</v>
      </c>
      <c r="F64" s="5">
        <f>N(기업생멸_시도별!W3)</f>
        <v>182462</v>
      </c>
      <c r="G64" s="5">
        <f>N(기업생멸_시도별!AB3)</f>
        <v>170586</v>
      </c>
      <c r="H64" s="5">
        <f>N(기업생멸_시도별!AG3)</f>
        <v>171459</v>
      </c>
    </row>
    <row r="65" spans="1:8" x14ac:dyDescent="0.3">
      <c r="A65" t="s">
        <v>134</v>
      </c>
      <c r="B65" s="5">
        <f>N(기업생멸_시도별!C11)</f>
        <v>274258</v>
      </c>
      <c r="C65" s="5">
        <f>N(기업생멸_시도별!H11)</f>
        <v>300304</v>
      </c>
      <c r="D65" s="5">
        <f>N(기업생멸_시도별!M11)</f>
        <v>302738</v>
      </c>
      <c r="E65" s="5">
        <f>N(기업생멸_시도별!R11)</f>
        <v>289590</v>
      </c>
      <c r="F65" s="5">
        <f>N(기업생멸_시도별!W11)</f>
        <v>284254</v>
      </c>
      <c r="G65" s="5">
        <f>N(기업생멸_시도별!AB11)</f>
        <v>276371</v>
      </c>
      <c r="H65" s="5">
        <f>N(기업생멸_시도별!AG11)</f>
        <v>271855</v>
      </c>
    </row>
    <row r="66" spans="1:8" x14ac:dyDescent="0.3">
      <c r="A66" t="s">
        <v>128</v>
      </c>
      <c r="B66" s="5">
        <f>N(기업생멸_시도별!C4)</f>
        <v>59156</v>
      </c>
      <c r="C66" s="5">
        <f>N(기업생멸_시도별!H4)</f>
        <v>61778</v>
      </c>
      <c r="D66" s="5">
        <f>N(기업생멸_시도별!M4)</f>
        <v>58947</v>
      </c>
      <c r="E66" s="5">
        <f>N(기업생멸_시도별!R4)</f>
        <v>57279</v>
      </c>
      <c r="F66" s="5">
        <f>N(기업생멸_시도별!W4)</f>
        <v>53074</v>
      </c>
      <c r="G66" s="5">
        <f>N(기업생멸_시도별!AB4)</f>
        <v>49531</v>
      </c>
      <c r="H66" s="5">
        <f>N(기업생멸_시도별!AG4)</f>
        <v>49921</v>
      </c>
    </row>
    <row r="67" spans="1:8" x14ac:dyDescent="0.3">
      <c r="A67" t="s">
        <v>72</v>
      </c>
      <c r="B67" s="5">
        <f>N(기업생멸_시도별!C5)</f>
        <v>40004</v>
      </c>
      <c r="C67" s="5">
        <f>N(기업생멸_시도별!H5)</f>
        <v>41404</v>
      </c>
      <c r="D67" s="5">
        <f>N(기업생멸_시도별!M5)</f>
        <v>39261</v>
      </c>
      <c r="E67" s="5">
        <f>N(기업생멸_시도별!R5)</f>
        <v>36653</v>
      </c>
      <c r="F67" s="5">
        <f>N(기업생멸_시도별!W5)</f>
        <v>36845</v>
      </c>
      <c r="G67" s="5">
        <f>N(기업생멸_시도별!AB5)</f>
        <v>34899</v>
      </c>
      <c r="H67" s="5">
        <f>N(기업생멸_시도별!AG5)</f>
        <v>34873</v>
      </c>
    </row>
    <row r="68" spans="1:8" x14ac:dyDescent="0.3">
      <c r="A68" t="s">
        <v>129</v>
      </c>
      <c r="B68" s="5">
        <f>N(기업생멸_시도별!C6)</f>
        <v>66439</v>
      </c>
      <c r="C68" s="5">
        <f>N(기업생멸_시도별!H6)</f>
        <v>62764</v>
      </c>
      <c r="D68" s="5">
        <f>N(기업생멸_시도별!M6)</f>
        <v>62536</v>
      </c>
      <c r="E68" s="5">
        <f>N(기업생멸_시도별!R6)</f>
        <v>62173</v>
      </c>
      <c r="F68" s="5">
        <f>N(기업생멸_시도별!W6)</f>
        <v>60804</v>
      </c>
      <c r="G68" s="5">
        <f>N(기업생멸_시도별!AB6)</f>
        <v>57731</v>
      </c>
      <c r="H68" s="5">
        <f>N(기업생멸_시도별!AG6)</f>
        <v>57199</v>
      </c>
    </row>
    <row r="69" spans="1:8" x14ac:dyDescent="0.3">
      <c r="A69" t="s">
        <v>147</v>
      </c>
      <c r="B69" s="5">
        <f>B70-SUM(B64:B68)</f>
        <v>361592</v>
      </c>
      <c r="C69" s="5">
        <f>C70-SUM(C64:C68)</f>
        <v>385658</v>
      </c>
      <c r="D69" s="5">
        <f>D70-SUM(D64:D68)</f>
        <v>370247</v>
      </c>
      <c r="E69" s="5">
        <f>E70-SUM(E64:E68)</f>
        <v>356703</v>
      </c>
      <c r="F69" s="5">
        <f>F70-SUM(F64:F68)</f>
        <v>338502</v>
      </c>
      <c r="G69" s="5">
        <f>G70-SUM(G64:G68)</f>
        <v>333295</v>
      </c>
      <c r="H69" s="5">
        <f>H70-SUM(H64:H68)</f>
        <v>323161</v>
      </c>
    </row>
    <row r="70" spans="1:8" x14ac:dyDescent="0.3">
      <c r="A70" s="10" t="s">
        <v>148</v>
      </c>
      <c r="B70" s="5">
        <f>N(기업생멸_시도별!C2)</f>
        <v>1005463</v>
      </c>
      <c r="C70" s="5">
        <f>N(기업생멸_시도별!H2)</f>
        <v>1068917</v>
      </c>
      <c r="D70" s="5">
        <f>N(기업생멸_시도별!M2)</f>
        <v>1033758</v>
      </c>
      <c r="E70" s="5">
        <f>N(기업생멸_시도별!R2)</f>
        <v>997471</v>
      </c>
      <c r="F70" s="5">
        <f>N(기업생멸_시도별!W2)</f>
        <v>955941</v>
      </c>
      <c r="G70" s="5">
        <f>N(기업생멸_시도별!AB2)</f>
        <v>922413</v>
      </c>
      <c r="H70" s="5">
        <f>N(기업생멸_시도별!AG2)</f>
        <v>908468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8D07-1726-464D-ABAF-47EF17CF93FC}">
  <dimension ref="A1:Q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5" x14ac:dyDescent="0.3"/>
  <cols>
    <col min="1" max="1" width="14.625" customWidth="1"/>
    <col min="2" max="2" width="40.625" customWidth="1"/>
    <col min="3" max="17" width="12.625" customWidth="1"/>
  </cols>
  <sheetData>
    <row r="1" spans="1:17" ht="32.1" customHeight="1" x14ac:dyDescent="0.3">
      <c r="A1" s="4" t="s">
        <v>16</v>
      </c>
      <c r="B1" s="4" t="s">
        <v>17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101</v>
      </c>
      <c r="P1" s="4" t="s">
        <v>102</v>
      </c>
      <c r="Q1" s="4" t="s">
        <v>103</v>
      </c>
    </row>
    <row r="2" spans="1:17" x14ac:dyDescent="0.3">
      <c r="A2" t="s">
        <v>51</v>
      </c>
      <c r="B2" t="s">
        <v>104</v>
      </c>
      <c r="C2" s="5">
        <v>6032022</v>
      </c>
      <c r="D2" s="5">
        <v>24813449</v>
      </c>
      <c r="E2" s="5">
        <v>6710918882</v>
      </c>
      <c r="F2" s="5">
        <v>6079702</v>
      </c>
      <c r="G2" s="5">
        <v>24931600</v>
      </c>
      <c r="H2" s="5">
        <v>7474083484</v>
      </c>
      <c r="I2" s="5">
        <v>6139899</v>
      </c>
      <c r="J2" s="5">
        <v>25217123</v>
      </c>
      <c r="K2" s="5">
        <v>8773555947</v>
      </c>
      <c r="L2" s="5">
        <v>6246489</v>
      </c>
      <c r="M2" s="5">
        <v>25445897</v>
      </c>
      <c r="N2" s="5">
        <v>8696034986</v>
      </c>
      <c r="O2" s="5">
        <v>6363262</v>
      </c>
      <c r="P2" s="5">
        <v>25641480</v>
      </c>
      <c r="Q2" s="5">
        <v>9038331262</v>
      </c>
    </row>
    <row r="3" spans="1:17" x14ac:dyDescent="0.3">
      <c r="A3" t="s">
        <v>51</v>
      </c>
      <c r="B3" t="s">
        <v>105</v>
      </c>
      <c r="C3" s="5">
        <v>12707</v>
      </c>
      <c r="D3" s="5">
        <v>63990</v>
      </c>
      <c r="E3" s="5">
        <v>19005954</v>
      </c>
      <c r="F3" s="5">
        <v>12775</v>
      </c>
      <c r="G3" s="5">
        <v>66163</v>
      </c>
      <c r="H3" s="5">
        <v>20997315</v>
      </c>
      <c r="I3" s="5">
        <v>13102</v>
      </c>
      <c r="J3" s="5">
        <v>66605</v>
      </c>
      <c r="K3" s="5">
        <v>22550162</v>
      </c>
      <c r="L3" s="5">
        <v>12630</v>
      </c>
      <c r="M3" s="5">
        <v>65192</v>
      </c>
      <c r="N3" s="5">
        <v>22269169</v>
      </c>
      <c r="O3" s="5">
        <v>11967</v>
      </c>
      <c r="P3" s="5">
        <v>62963</v>
      </c>
      <c r="Q3" s="5">
        <v>21220748</v>
      </c>
    </row>
    <row r="4" spans="1:17" x14ac:dyDescent="0.3">
      <c r="A4" t="s">
        <v>51</v>
      </c>
      <c r="B4" t="s">
        <v>106</v>
      </c>
      <c r="C4" s="5">
        <v>2205</v>
      </c>
      <c r="D4" s="5">
        <v>14941</v>
      </c>
      <c r="E4" s="5">
        <v>3811991</v>
      </c>
      <c r="F4" s="5">
        <v>2104</v>
      </c>
      <c r="G4" s="5">
        <v>14863</v>
      </c>
      <c r="H4" s="5">
        <v>4808468</v>
      </c>
      <c r="I4" s="5">
        <v>1936</v>
      </c>
      <c r="J4" s="5">
        <v>14442</v>
      </c>
      <c r="K4" s="5">
        <v>5884849</v>
      </c>
      <c r="L4" s="5">
        <v>1873</v>
      </c>
      <c r="M4" s="5">
        <v>13232</v>
      </c>
      <c r="N4" s="5">
        <v>5925865</v>
      </c>
      <c r="O4" s="5">
        <v>1913</v>
      </c>
      <c r="P4" s="5">
        <v>13098</v>
      </c>
      <c r="Q4" s="5">
        <v>6049722</v>
      </c>
    </row>
    <row r="5" spans="1:17" x14ac:dyDescent="0.3">
      <c r="A5" t="s">
        <v>51</v>
      </c>
      <c r="B5" t="s">
        <v>107</v>
      </c>
      <c r="C5" s="5">
        <v>579645</v>
      </c>
      <c r="D5" s="5">
        <v>4260429</v>
      </c>
      <c r="E5" s="5">
        <v>1816488828</v>
      </c>
      <c r="F5" s="5">
        <v>579050</v>
      </c>
      <c r="G5" s="5">
        <v>4217537</v>
      </c>
      <c r="H5" s="5">
        <v>2171240106</v>
      </c>
      <c r="I5" s="5">
        <v>586532</v>
      </c>
      <c r="J5" s="5">
        <v>4253904</v>
      </c>
      <c r="K5" s="5">
        <v>2502873184</v>
      </c>
      <c r="L5" s="5">
        <v>537580</v>
      </c>
      <c r="M5" s="5">
        <v>4156969</v>
      </c>
      <c r="N5" s="5">
        <v>2421884637</v>
      </c>
      <c r="O5" s="5">
        <v>509467</v>
      </c>
      <c r="P5" s="5">
        <v>4159656</v>
      </c>
      <c r="Q5" s="5">
        <v>2598258671</v>
      </c>
    </row>
    <row r="6" spans="1:17" x14ac:dyDescent="0.3">
      <c r="A6" t="s">
        <v>51</v>
      </c>
      <c r="B6" t="s">
        <v>108</v>
      </c>
      <c r="C6" s="5">
        <v>74092</v>
      </c>
      <c r="D6" s="5">
        <v>142433</v>
      </c>
      <c r="E6" s="5">
        <v>142088680</v>
      </c>
      <c r="F6" s="5">
        <v>88513</v>
      </c>
      <c r="G6" s="5">
        <v>156994</v>
      </c>
      <c r="H6" s="5">
        <v>165808133</v>
      </c>
      <c r="I6" s="5">
        <v>91286</v>
      </c>
      <c r="J6" s="5">
        <v>160666</v>
      </c>
      <c r="K6" s="5">
        <v>243279070</v>
      </c>
      <c r="L6" s="5">
        <v>109976</v>
      </c>
      <c r="M6" s="5">
        <v>175313</v>
      </c>
      <c r="N6" s="5">
        <v>242970547</v>
      </c>
      <c r="O6" s="5">
        <v>145874</v>
      </c>
      <c r="P6" s="5">
        <v>212795</v>
      </c>
      <c r="Q6" s="5">
        <v>236378872</v>
      </c>
    </row>
    <row r="7" spans="1:17" x14ac:dyDescent="0.3">
      <c r="A7" t="s">
        <v>51</v>
      </c>
      <c r="B7" t="s">
        <v>109</v>
      </c>
      <c r="C7" s="5">
        <v>13097</v>
      </c>
      <c r="D7" s="5">
        <v>127635</v>
      </c>
      <c r="E7" s="5">
        <v>30381831</v>
      </c>
      <c r="F7" s="5">
        <v>13296</v>
      </c>
      <c r="G7" s="5">
        <v>133172</v>
      </c>
      <c r="H7" s="5">
        <v>35648861</v>
      </c>
      <c r="I7" s="5">
        <v>13756</v>
      </c>
      <c r="J7" s="5">
        <v>134281</v>
      </c>
      <c r="K7" s="5">
        <v>37790836</v>
      </c>
      <c r="L7" s="5">
        <v>13696</v>
      </c>
      <c r="M7" s="5">
        <v>131801</v>
      </c>
      <c r="N7" s="5">
        <v>37669849</v>
      </c>
      <c r="O7" s="5">
        <v>13733</v>
      </c>
      <c r="P7" s="5">
        <v>132892</v>
      </c>
      <c r="Q7" s="5">
        <v>37911593</v>
      </c>
    </row>
    <row r="8" spans="1:17" x14ac:dyDescent="0.3">
      <c r="A8" t="s">
        <v>51</v>
      </c>
      <c r="B8" t="s">
        <v>110</v>
      </c>
      <c r="C8" s="5">
        <v>471217</v>
      </c>
      <c r="D8" s="5">
        <v>2159187</v>
      </c>
      <c r="E8" s="5">
        <v>477618019</v>
      </c>
      <c r="F8" s="5">
        <v>485078</v>
      </c>
      <c r="G8" s="5">
        <v>1987478</v>
      </c>
      <c r="H8" s="5">
        <v>505268234</v>
      </c>
      <c r="I8" s="5">
        <v>494228</v>
      </c>
      <c r="J8" s="5">
        <v>1955608</v>
      </c>
      <c r="K8" s="5">
        <v>556896361</v>
      </c>
      <c r="L8" s="5">
        <v>497848</v>
      </c>
      <c r="M8" s="5">
        <v>1923114</v>
      </c>
      <c r="N8" s="5">
        <v>570314068</v>
      </c>
      <c r="O8" s="5">
        <v>504267</v>
      </c>
      <c r="P8" s="5">
        <v>1861094</v>
      </c>
      <c r="Q8" s="5">
        <v>546910803</v>
      </c>
    </row>
    <row r="9" spans="1:17" x14ac:dyDescent="0.3">
      <c r="A9" t="s">
        <v>51</v>
      </c>
      <c r="B9" t="s">
        <v>111</v>
      </c>
      <c r="C9" s="5">
        <v>1567298</v>
      </c>
      <c r="D9" s="5">
        <v>3689068</v>
      </c>
      <c r="E9" s="5">
        <v>1462009934</v>
      </c>
      <c r="F9" s="5">
        <v>1536229</v>
      </c>
      <c r="G9" s="5">
        <v>3668167</v>
      </c>
      <c r="H9" s="5">
        <v>1606287940</v>
      </c>
      <c r="I9" s="5">
        <v>1519506</v>
      </c>
      <c r="J9" s="5">
        <v>3577536</v>
      </c>
      <c r="K9" s="5">
        <v>1740118282</v>
      </c>
      <c r="L9" s="5">
        <v>1576429</v>
      </c>
      <c r="M9" s="5">
        <v>3574852</v>
      </c>
      <c r="N9" s="5">
        <v>1720691792</v>
      </c>
      <c r="O9" s="5">
        <v>1612664</v>
      </c>
      <c r="P9" s="5">
        <v>3551791</v>
      </c>
      <c r="Q9" s="5">
        <v>1719516835</v>
      </c>
    </row>
    <row r="10" spans="1:17" x14ac:dyDescent="0.3">
      <c r="A10" t="s">
        <v>51</v>
      </c>
      <c r="B10" t="s">
        <v>112</v>
      </c>
      <c r="C10" s="5">
        <v>593274</v>
      </c>
      <c r="D10" s="5">
        <v>1326727</v>
      </c>
      <c r="E10" s="5">
        <v>232910802</v>
      </c>
      <c r="F10" s="5">
        <v>616484</v>
      </c>
      <c r="G10" s="5">
        <v>1361418</v>
      </c>
      <c r="H10" s="5">
        <v>301540708</v>
      </c>
      <c r="I10" s="5">
        <v>644407</v>
      </c>
      <c r="J10" s="5">
        <v>1383516</v>
      </c>
      <c r="K10" s="5">
        <v>375136965</v>
      </c>
      <c r="L10" s="5">
        <v>669091</v>
      </c>
      <c r="M10" s="5">
        <v>1427375</v>
      </c>
      <c r="N10" s="5">
        <v>351939550</v>
      </c>
      <c r="O10" s="5">
        <v>673767</v>
      </c>
      <c r="P10" s="5">
        <v>1464734</v>
      </c>
      <c r="Q10" s="5">
        <v>386001244</v>
      </c>
    </row>
    <row r="11" spans="1:17" x14ac:dyDescent="0.3">
      <c r="A11" t="s">
        <v>51</v>
      </c>
      <c r="B11" t="s">
        <v>113</v>
      </c>
      <c r="C11" s="5">
        <v>865333</v>
      </c>
      <c r="D11" s="5">
        <v>2093205</v>
      </c>
      <c r="E11" s="5">
        <v>151057576</v>
      </c>
      <c r="F11" s="5">
        <v>863009</v>
      </c>
      <c r="G11" s="5">
        <v>2108073</v>
      </c>
      <c r="H11" s="5">
        <v>163084959</v>
      </c>
      <c r="I11" s="5">
        <v>858593</v>
      </c>
      <c r="J11" s="5">
        <v>2215219</v>
      </c>
      <c r="K11" s="5">
        <v>193891244</v>
      </c>
      <c r="L11" s="5">
        <v>860198</v>
      </c>
      <c r="M11" s="5">
        <v>2298936</v>
      </c>
      <c r="N11" s="5">
        <v>211357686</v>
      </c>
      <c r="O11" s="5">
        <v>858195</v>
      </c>
      <c r="P11" s="5">
        <v>2234009</v>
      </c>
      <c r="Q11" s="5">
        <v>219249696</v>
      </c>
    </row>
    <row r="12" spans="1:17" x14ac:dyDescent="0.3">
      <c r="A12" t="s">
        <v>51</v>
      </c>
      <c r="B12" t="s">
        <v>114</v>
      </c>
      <c r="C12" s="5">
        <v>113304</v>
      </c>
      <c r="D12" s="5">
        <v>774130</v>
      </c>
      <c r="E12" s="5">
        <v>196342338</v>
      </c>
      <c r="F12" s="5">
        <v>120745</v>
      </c>
      <c r="G12" s="5">
        <v>831969</v>
      </c>
      <c r="H12" s="5">
        <v>228074208</v>
      </c>
      <c r="I12" s="5">
        <v>127974</v>
      </c>
      <c r="J12" s="5">
        <v>872905</v>
      </c>
      <c r="K12" s="5">
        <v>248523936</v>
      </c>
      <c r="L12" s="5">
        <v>131273</v>
      </c>
      <c r="M12" s="5">
        <v>873769</v>
      </c>
      <c r="N12" s="5">
        <v>256730850</v>
      </c>
      <c r="O12" s="5">
        <v>137647</v>
      </c>
      <c r="P12" s="5">
        <v>858952</v>
      </c>
      <c r="Q12" s="5">
        <v>264836260</v>
      </c>
    </row>
    <row r="13" spans="1:17" x14ac:dyDescent="0.3">
      <c r="A13" t="s">
        <v>51</v>
      </c>
      <c r="B13" t="s">
        <v>115</v>
      </c>
      <c r="C13" s="5">
        <v>63617</v>
      </c>
      <c r="D13" s="5">
        <v>696540</v>
      </c>
      <c r="E13" s="5">
        <v>1042386129</v>
      </c>
      <c r="F13" s="5">
        <v>64035</v>
      </c>
      <c r="G13" s="5">
        <v>710025</v>
      </c>
      <c r="H13" s="5">
        <v>1013314596</v>
      </c>
      <c r="I13" s="5">
        <v>64560</v>
      </c>
      <c r="J13" s="5">
        <v>700940</v>
      </c>
      <c r="K13" s="5">
        <v>1498795743</v>
      </c>
      <c r="L13" s="5">
        <v>65525</v>
      </c>
      <c r="M13" s="5">
        <v>703095</v>
      </c>
      <c r="N13" s="5">
        <v>1446645036</v>
      </c>
      <c r="O13" s="5">
        <v>69017</v>
      </c>
      <c r="P13" s="5">
        <v>735916</v>
      </c>
      <c r="Q13" s="5">
        <v>1515075966</v>
      </c>
    </row>
    <row r="14" spans="1:17" x14ac:dyDescent="0.3">
      <c r="A14" t="s">
        <v>51</v>
      </c>
      <c r="B14" t="s">
        <v>116</v>
      </c>
      <c r="C14" s="5">
        <v>278339</v>
      </c>
      <c r="D14" s="5">
        <v>684981</v>
      </c>
      <c r="E14" s="5">
        <v>202700003</v>
      </c>
      <c r="F14" s="5">
        <v>285968</v>
      </c>
      <c r="G14" s="5">
        <v>702920</v>
      </c>
      <c r="H14" s="5">
        <v>227588948</v>
      </c>
      <c r="I14" s="5">
        <v>290074</v>
      </c>
      <c r="J14" s="5">
        <v>692012</v>
      </c>
      <c r="K14" s="5">
        <v>208038731</v>
      </c>
      <c r="L14" s="5">
        <v>288971</v>
      </c>
      <c r="M14" s="5">
        <v>674587</v>
      </c>
      <c r="N14" s="5">
        <v>212142261</v>
      </c>
      <c r="O14" s="5">
        <v>277096</v>
      </c>
      <c r="P14" s="5">
        <v>655270</v>
      </c>
      <c r="Q14" s="5">
        <v>204654761</v>
      </c>
    </row>
    <row r="15" spans="1:17" x14ac:dyDescent="0.3">
      <c r="A15" t="s">
        <v>51</v>
      </c>
      <c r="B15" t="s">
        <v>117</v>
      </c>
      <c r="C15" s="5">
        <v>221460</v>
      </c>
      <c r="D15" s="5">
        <v>1365432</v>
      </c>
      <c r="E15" s="5">
        <v>252630392</v>
      </c>
      <c r="F15" s="5">
        <v>223434</v>
      </c>
      <c r="G15" s="5">
        <v>1404904</v>
      </c>
      <c r="H15" s="5">
        <v>299224674</v>
      </c>
      <c r="I15" s="5">
        <v>226569</v>
      </c>
      <c r="J15" s="5">
        <v>1436619</v>
      </c>
      <c r="K15" s="5">
        <v>345484777</v>
      </c>
      <c r="L15" s="5">
        <v>232104</v>
      </c>
      <c r="M15" s="5">
        <v>1492837</v>
      </c>
      <c r="N15" s="5">
        <v>385894648</v>
      </c>
      <c r="O15" s="5">
        <v>244426</v>
      </c>
      <c r="P15" s="5">
        <v>1513309</v>
      </c>
      <c r="Q15" s="5">
        <v>416975689</v>
      </c>
    </row>
    <row r="16" spans="1:17" x14ac:dyDescent="0.3">
      <c r="A16" t="s">
        <v>51</v>
      </c>
      <c r="B16" t="s">
        <v>118</v>
      </c>
      <c r="C16" s="5">
        <v>151264</v>
      </c>
      <c r="D16" s="5">
        <v>1316478</v>
      </c>
      <c r="E16" s="5">
        <v>104080407</v>
      </c>
      <c r="F16" s="5">
        <v>142424</v>
      </c>
      <c r="G16" s="5">
        <v>1300767</v>
      </c>
      <c r="H16" s="5">
        <v>109825803</v>
      </c>
      <c r="I16" s="5">
        <v>138183</v>
      </c>
      <c r="J16" s="5">
        <v>1300103</v>
      </c>
      <c r="K16" s="5">
        <v>118124045</v>
      </c>
      <c r="L16" s="5">
        <v>137330</v>
      </c>
      <c r="M16" s="5">
        <v>1338595</v>
      </c>
      <c r="N16" s="5">
        <v>129014045</v>
      </c>
      <c r="O16" s="5">
        <v>136241</v>
      </c>
      <c r="P16" s="5">
        <v>1341037</v>
      </c>
      <c r="Q16" s="5">
        <v>129950420</v>
      </c>
    </row>
    <row r="17" spans="1:17" x14ac:dyDescent="0.3">
      <c r="A17" t="s">
        <v>51</v>
      </c>
      <c r="B17" t="s">
        <v>119</v>
      </c>
      <c r="C17" s="5">
        <v>12971</v>
      </c>
      <c r="D17" s="5">
        <v>858969</v>
      </c>
      <c r="E17" s="5">
        <v>188287598</v>
      </c>
      <c r="F17" s="5">
        <v>13052</v>
      </c>
      <c r="G17" s="5">
        <v>897295</v>
      </c>
      <c r="H17" s="5">
        <v>207050341</v>
      </c>
      <c r="I17" s="5">
        <v>13132</v>
      </c>
      <c r="J17" s="5">
        <v>919195</v>
      </c>
      <c r="K17" s="5">
        <v>227008344</v>
      </c>
      <c r="L17" s="5">
        <v>13105</v>
      </c>
      <c r="M17" s="5">
        <v>929279</v>
      </c>
      <c r="N17" s="5">
        <v>200012122</v>
      </c>
      <c r="O17" s="5">
        <v>13114</v>
      </c>
      <c r="P17" s="5">
        <v>944330</v>
      </c>
      <c r="Q17" s="5">
        <v>217003245</v>
      </c>
    </row>
    <row r="18" spans="1:17" x14ac:dyDescent="0.3">
      <c r="A18" t="s">
        <v>51</v>
      </c>
      <c r="B18" t="s">
        <v>120</v>
      </c>
      <c r="C18" s="5">
        <v>234741</v>
      </c>
      <c r="D18" s="5">
        <v>1652891</v>
      </c>
      <c r="E18" s="5">
        <v>122225999</v>
      </c>
      <c r="F18" s="5">
        <v>249231</v>
      </c>
      <c r="G18" s="5">
        <v>1687025</v>
      </c>
      <c r="H18" s="5">
        <v>122811397</v>
      </c>
      <c r="I18" s="5">
        <v>256060</v>
      </c>
      <c r="J18" s="5">
        <v>1723109</v>
      </c>
      <c r="K18" s="5">
        <v>123446507</v>
      </c>
      <c r="L18" s="5">
        <v>270205</v>
      </c>
      <c r="M18" s="5">
        <v>1718615</v>
      </c>
      <c r="N18" s="5">
        <v>135020615</v>
      </c>
      <c r="O18" s="5">
        <v>280982</v>
      </c>
      <c r="P18" s="5">
        <v>1739023</v>
      </c>
      <c r="Q18" s="5">
        <v>141749817</v>
      </c>
    </row>
    <row r="19" spans="1:17" x14ac:dyDescent="0.3">
      <c r="A19" t="s">
        <v>51</v>
      </c>
      <c r="B19" t="s">
        <v>121</v>
      </c>
      <c r="C19" s="5">
        <v>157988</v>
      </c>
      <c r="D19" s="5">
        <v>2249829</v>
      </c>
      <c r="E19" s="5">
        <v>163818059</v>
      </c>
      <c r="F19" s="5">
        <v>162288</v>
      </c>
      <c r="G19" s="5">
        <v>2357153</v>
      </c>
      <c r="H19" s="5">
        <v>183524716</v>
      </c>
      <c r="I19" s="5">
        <v>167062</v>
      </c>
      <c r="J19" s="5">
        <v>2457512</v>
      </c>
      <c r="K19" s="5">
        <v>199490576</v>
      </c>
      <c r="L19" s="5">
        <v>167755</v>
      </c>
      <c r="M19" s="5">
        <v>2567968</v>
      </c>
      <c r="N19" s="5">
        <v>209434594</v>
      </c>
      <c r="O19" s="5">
        <v>170120</v>
      </c>
      <c r="P19" s="5">
        <v>2726259</v>
      </c>
      <c r="Q19" s="5">
        <v>228023092</v>
      </c>
    </row>
    <row r="20" spans="1:17" x14ac:dyDescent="0.3">
      <c r="A20" t="s">
        <v>51</v>
      </c>
      <c r="B20" t="s">
        <v>122</v>
      </c>
      <c r="C20" s="5">
        <v>143161</v>
      </c>
      <c r="D20" s="5">
        <v>420849</v>
      </c>
      <c r="E20" s="5">
        <v>39726895</v>
      </c>
      <c r="F20" s="5">
        <v>143372</v>
      </c>
      <c r="G20" s="5">
        <v>421838</v>
      </c>
      <c r="H20" s="5">
        <v>42515291</v>
      </c>
      <c r="I20" s="5">
        <v>144915</v>
      </c>
      <c r="J20" s="5">
        <v>444340</v>
      </c>
      <c r="K20" s="5">
        <v>55936344</v>
      </c>
      <c r="L20" s="5">
        <v>147479</v>
      </c>
      <c r="M20" s="5">
        <v>455369</v>
      </c>
      <c r="N20" s="5">
        <v>59925589</v>
      </c>
      <c r="O20" s="5">
        <v>153429</v>
      </c>
      <c r="P20" s="5">
        <v>467950</v>
      </c>
      <c r="Q20" s="5">
        <v>61474066</v>
      </c>
    </row>
    <row r="21" spans="1:17" x14ac:dyDescent="0.3">
      <c r="A21" t="s">
        <v>51</v>
      </c>
      <c r="B21" t="s">
        <v>123</v>
      </c>
      <c r="C21" s="5">
        <v>476309</v>
      </c>
      <c r="D21" s="5">
        <v>915735</v>
      </c>
      <c r="E21" s="5">
        <v>63347447</v>
      </c>
      <c r="F21" s="5">
        <v>478615</v>
      </c>
      <c r="G21" s="5">
        <v>903839</v>
      </c>
      <c r="H21" s="5">
        <v>65468786</v>
      </c>
      <c r="I21" s="5">
        <v>488024</v>
      </c>
      <c r="J21" s="5">
        <v>908611</v>
      </c>
      <c r="K21" s="5">
        <v>70285991</v>
      </c>
      <c r="L21" s="5">
        <v>513421</v>
      </c>
      <c r="M21" s="5">
        <v>924999</v>
      </c>
      <c r="N21" s="5">
        <v>76192063</v>
      </c>
      <c r="O21" s="5">
        <v>549343</v>
      </c>
      <c r="P21" s="5">
        <v>966402</v>
      </c>
      <c r="Q21" s="5">
        <v>87089762</v>
      </c>
    </row>
    <row r="22" spans="1:17" x14ac:dyDescent="0.3">
      <c r="A22" t="s">
        <v>71</v>
      </c>
      <c r="B22" t="s">
        <v>104</v>
      </c>
      <c r="C22" s="5">
        <v>1211053</v>
      </c>
      <c r="D22" s="5">
        <v>5868926</v>
      </c>
      <c r="E22" s="5">
        <v>2134723408</v>
      </c>
      <c r="F22" s="5">
        <v>1188091</v>
      </c>
      <c r="G22" s="5">
        <v>5771226</v>
      </c>
      <c r="H22" s="5">
        <v>2242880703</v>
      </c>
      <c r="I22" s="5">
        <v>1180025</v>
      </c>
      <c r="J22" s="5">
        <v>5795417</v>
      </c>
      <c r="K22" s="5">
        <v>2856087130</v>
      </c>
      <c r="L22" s="5">
        <v>1177287</v>
      </c>
      <c r="M22" s="5">
        <v>5800617</v>
      </c>
      <c r="N22" s="5">
        <v>2802352432</v>
      </c>
      <c r="O22" s="5">
        <v>1176066</v>
      </c>
      <c r="P22" s="5">
        <v>5772456</v>
      </c>
      <c r="Q22" s="5">
        <v>2896433490</v>
      </c>
    </row>
    <row r="23" spans="1:17" x14ac:dyDescent="0.3">
      <c r="A23" t="s">
        <v>71</v>
      </c>
      <c r="B23" t="s">
        <v>105</v>
      </c>
      <c r="C23" s="5">
        <v>170</v>
      </c>
      <c r="D23" s="5">
        <v>835</v>
      </c>
      <c r="E23" s="5">
        <v>330371</v>
      </c>
      <c r="F23" s="5">
        <v>154</v>
      </c>
      <c r="G23" s="5">
        <v>753</v>
      </c>
      <c r="H23" s="5">
        <v>323268</v>
      </c>
      <c r="I23" s="5">
        <v>141</v>
      </c>
      <c r="J23" s="5">
        <v>621</v>
      </c>
      <c r="K23" s="5">
        <v>404085</v>
      </c>
      <c r="L23" s="5">
        <v>112</v>
      </c>
      <c r="M23" s="5">
        <v>522</v>
      </c>
      <c r="N23" s="5">
        <v>340113</v>
      </c>
      <c r="O23" s="5">
        <v>93</v>
      </c>
      <c r="P23" s="5">
        <v>409</v>
      </c>
      <c r="Q23" s="5">
        <v>301561</v>
      </c>
    </row>
    <row r="24" spans="1:17" x14ac:dyDescent="0.3">
      <c r="A24" t="s">
        <v>71</v>
      </c>
      <c r="B24" t="s">
        <v>106</v>
      </c>
      <c r="C24" s="5">
        <v>25</v>
      </c>
      <c r="D24" s="5">
        <v>94</v>
      </c>
      <c r="E24" s="5">
        <v>24419</v>
      </c>
      <c r="F24" s="5">
        <v>25</v>
      </c>
      <c r="G24" s="5">
        <v>135</v>
      </c>
      <c r="H24" s="5">
        <v>48295</v>
      </c>
      <c r="I24" s="5">
        <v>26</v>
      </c>
      <c r="J24" s="5">
        <v>150</v>
      </c>
      <c r="K24" s="5">
        <v>187345</v>
      </c>
      <c r="L24" s="5">
        <v>21</v>
      </c>
      <c r="M24" s="5">
        <v>141</v>
      </c>
      <c r="N24" s="5">
        <v>195735</v>
      </c>
      <c r="O24" s="5">
        <v>16</v>
      </c>
      <c r="P24" s="5">
        <v>190</v>
      </c>
      <c r="Q24" s="5">
        <v>563082</v>
      </c>
    </row>
    <row r="25" spans="1:17" x14ac:dyDescent="0.3">
      <c r="A25" t="s">
        <v>71</v>
      </c>
      <c r="B25" t="s">
        <v>107</v>
      </c>
      <c r="C25" s="5">
        <v>78642</v>
      </c>
      <c r="D25" s="5">
        <v>284356</v>
      </c>
      <c r="E25" s="5">
        <v>60792471</v>
      </c>
      <c r="F25" s="5">
        <v>76870</v>
      </c>
      <c r="G25" s="5">
        <v>267489</v>
      </c>
      <c r="H25" s="5">
        <v>64451197</v>
      </c>
      <c r="I25" s="5">
        <v>75641</v>
      </c>
      <c r="J25" s="5">
        <v>261088</v>
      </c>
      <c r="K25" s="5">
        <v>68509823</v>
      </c>
      <c r="L25" s="5">
        <v>67269</v>
      </c>
      <c r="M25" s="5">
        <v>241919</v>
      </c>
      <c r="N25" s="5">
        <v>67201274</v>
      </c>
      <c r="O25" s="5">
        <v>62032</v>
      </c>
      <c r="P25" s="5">
        <v>237097</v>
      </c>
      <c r="Q25" s="5">
        <v>73313797</v>
      </c>
    </row>
    <row r="26" spans="1:17" x14ac:dyDescent="0.3">
      <c r="A26" t="s">
        <v>71</v>
      </c>
      <c r="B26" t="s">
        <v>108</v>
      </c>
      <c r="C26" s="5">
        <v>824</v>
      </c>
      <c r="D26" s="5">
        <v>6841</v>
      </c>
      <c r="E26" s="5">
        <v>13660074</v>
      </c>
      <c r="F26" s="5">
        <v>683</v>
      </c>
      <c r="G26" s="5">
        <v>6873</v>
      </c>
      <c r="H26" s="5">
        <v>15088617</v>
      </c>
      <c r="I26" s="5">
        <v>653</v>
      </c>
      <c r="J26" s="5">
        <v>6929</v>
      </c>
      <c r="K26" s="5">
        <v>20134956</v>
      </c>
      <c r="L26" s="5">
        <v>755</v>
      </c>
      <c r="M26" s="5">
        <v>7368</v>
      </c>
      <c r="N26" s="5">
        <v>20536564</v>
      </c>
      <c r="O26" s="5">
        <v>867</v>
      </c>
      <c r="P26" s="5">
        <v>6637</v>
      </c>
      <c r="Q26" s="5">
        <v>17839602</v>
      </c>
    </row>
    <row r="27" spans="1:17" x14ac:dyDescent="0.3">
      <c r="A27" t="s">
        <v>71</v>
      </c>
      <c r="B27" t="s">
        <v>109</v>
      </c>
      <c r="C27" s="5">
        <v>728</v>
      </c>
      <c r="D27" s="5">
        <v>10342</v>
      </c>
      <c r="E27" s="5">
        <v>1670363</v>
      </c>
      <c r="F27" s="5">
        <v>720</v>
      </c>
      <c r="G27" s="5">
        <v>10610</v>
      </c>
      <c r="H27" s="5">
        <v>2029726</v>
      </c>
      <c r="I27" s="5">
        <v>764</v>
      </c>
      <c r="J27" s="5">
        <v>10750</v>
      </c>
      <c r="K27" s="5">
        <v>2126738</v>
      </c>
      <c r="L27" s="5">
        <v>741</v>
      </c>
      <c r="M27" s="5">
        <v>10599</v>
      </c>
      <c r="N27" s="5">
        <v>2087311</v>
      </c>
      <c r="O27" s="5">
        <v>757</v>
      </c>
      <c r="P27" s="5">
        <v>10638</v>
      </c>
      <c r="Q27" s="5">
        <v>2204888</v>
      </c>
    </row>
    <row r="28" spans="1:17" x14ac:dyDescent="0.3">
      <c r="A28" t="s">
        <v>71</v>
      </c>
      <c r="B28" t="s">
        <v>110</v>
      </c>
      <c r="C28" s="5">
        <v>67598</v>
      </c>
      <c r="D28" s="5">
        <v>515446</v>
      </c>
      <c r="E28" s="5">
        <v>187768281</v>
      </c>
      <c r="F28" s="5">
        <v>67382</v>
      </c>
      <c r="G28" s="5">
        <v>449060</v>
      </c>
      <c r="H28" s="5">
        <v>191766911</v>
      </c>
      <c r="I28" s="5">
        <v>66868</v>
      </c>
      <c r="J28" s="5">
        <v>453044</v>
      </c>
      <c r="K28" s="5">
        <v>214504889</v>
      </c>
      <c r="L28" s="5">
        <v>66079</v>
      </c>
      <c r="M28" s="5">
        <v>408445</v>
      </c>
      <c r="N28" s="5">
        <v>211802514</v>
      </c>
      <c r="O28" s="5">
        <v>65232</v>
      </c>
      <c r="P28" s="5">
        <v>388553</v>
      </c>
      <c r="Q28" s="5">
        <v>209088885</v>
      </c>
    </row>
    <row r="29" spans="1:17" x14ac:dyDescent="0.3">
      <c r="A29" t="s">
        <v>71</v>
      </c>
      <c r="B29" t="s">
        <v>111</v>
      </c>
      <c r="C29" s="5">
        <v>352424</v>
      </c>
      <c r="D29" s="5">
        <v>1043507</v>
      </c>
      <c r="E29" s="5">
        <v>570283471</v>
      </c>
      <c r="F29" s="5">
        <v>335817</v>
      </c>
      <c r="G29" s="5">
        <v>1009123</v>
      </c>
      <c r="H29" s="5">
        <v>613757195</v>
      </c>
      <c r="I29" s="5">
        <v>324613</v>
      </c>
      <c r="J29" s="5">
        <v>962626</v>
      </c>
      <c r="K29" s="5">
        <v>683313611</v>
      </c>
      <c r="L29" s="5">
        <v>332064</v>
      </c>
      <c r="M29" s="5">
        <v>950356</v>
      </c>
      <c r="N29" s="5">
        <v>680801402</v>
      </c>
      <c r="O29" s="5">
        <v>331830</v>
      </c>
      <c r="P29" s="5">
        <v>936536</v>
      </c>
      <c r="Q29" s="5">
        <v>680969625</v>
      </c>
    </row>
    <row r="30" spans="1:17" x14ac:dyDescent="0.3">
      <c r="A30" t="s">
        <v>71</v>
      </c>
      <c r="B30" t="s">
        <v>112</v>
      </c>
      <c r="C30" s="5">
        <v>105405</v>
      </c>
      <c r="D30" s="5">
        <v>279478</v>
      </c>
      <c r="E30" s="5">
        <v>70468124</v>
      </c>
      <c r="F30" s="5">
        <v>110339</v>
      </c>
      <c r="G30" s="5">
        <v>274477</v>
      </c>
      <c r="H30" s="5">
        <v>99114072</v>
      </c>
      <c r="I30" s="5">
        <v>118073</v>
      </c>
      <c r="J30" s="5">
        <v>280575</v>
      </c>
      <c r="K30" s="5">
        <v>135888030</v>
      </c>
      <c r="L30" s="5">
        <v>117785</v>
      </c>
      <c r="M30" s="5">
        <v>285491</v>
      </c>
      <c r="N30" s="5">
        <v>108194245</v>
      </c>
      <c r="O30" s="5">
        <v>120234</v>
      </c>
      <c r="P30" s="5">
        <v>289414</v>
      </c>
      <c r="Q30" s="5">
        <v>123237502</v>
      </c>
    </row>
    <row r="31" spans="1:17" x14ac:dyDescent="0.3">
      <c r="A31" t="s">
        <v>71</v>
      </c>
      <c r="B31" t="s">
        <v>113</v>
      </c>
      <c r="C31" s="5">
        <v>145757</v>
      </c>
      <c r="D31" s="5">
        <v>432643</v>
      </c>
      <c r="E31" s="5">
        <v>36260838</v>
      </c>
      <c r="F31" s="5">
        <v>141679</v>
      </c>
      <c r="G31" s="5">
        <v>424071</v>
      </c>
      <c r="H31" s="5">
        <v>38247486</v>
      </c>
      <c r="I31" s="5">
        <v>139173</v>
      </c>
      <c r="J31" s="5">
        <v>441817</v>
      </c>
      <c r="K31" s="5">
        <v>45618248</v>
      </c>
      <c r="L31" s="5">
        <v>138619</v>
      </c>
      <c r="M31" s="5">
        <v>462916</v>
      </c>
      <c r="N31" s="5">
        <v>51683893</v>
      </c>
      <c r="O31" s="5">
        <v>138531</v>
      </c>
      <c r="P31" s="5">
        <v>450505</v>
      </c>
      <c r="Q31" s="5">
        <v>53066908</v>
      </c>
    </row>
    <row r="32" spans="1:17" x14ac:dyDescent="0.3">
      <c r="A32" t="s">
        <v>71</v>
      </c>
      <c r="B32" t="s">
        <v>114</v>
      </c>
      <c r="C32" s="5">
        <v>55937</v>
      </c>
      <c r="D32" s="5">
        <v>459805</v>
      </c>
      <c r="E32" s="5">
        <v>120628549</v>
      </c>
      <c r="F32" s="5">
        <v>57615</v>
      </c>
      <c r="G32" s="5">
        <v>490621</v>
      </c>
      <c r="H32" s="5">
        <v>141347242</v>
      </c>
      <c r="I32" s="5">
        <v>59783</v>
      </c>
      <c r="J32" s="5">
        <v>518475</v>
      </c>
      <c r="K32" s="5">
        <v>155959927</v>
      </c>
      <c r="L32" s="5">
        <v>57551</v>
      </c>
      <c r="M32" s="5">
        <v>507543</v>
      </c>
      <c r="N32" s="5">
        <v>158324075</v>
      </c>
      <c r="O32" s="5">
        <v>54557</v>
      </c>
      <c r="P32" s="5">
        <v>490271</v>
      </c>
      <c r="Q32" s="5">
        <v>163041172</v>
      </c>
    </row>
    <row r="33" spans="1:17" x14ac:dyDescent="0.3">
      <c r="A33" t="s">
        <v>71</v>
      </c>
      <c r="B33" t="s">
        <v>115</v>
      </c>
      <c r="C33" s="5">
        <v>22471</v>
      </c>
      <c r="D33" s="5">
        <v>287404</v>
      </c>
      <c r="E33" s="5">
        <v>722536901</v>
      </c>
      <c r="F33" s="5">
        <v>23262</v>
      </c>
      <c r="G33" s="5">
        <v>293681</v>
      </c>
      <c r="H33" s="5">
        <v>697133246</v>
      </c>
      <c r="I33" s="5">
        <v>24627</v>
      </c>
      <c r="J33" s="5">
        <v>291740</v>
      </c>
      <c r="K33" s="5">
        <v>1114211476</v>
      </c>
      <c r="L33" s="5">
        <v>24807</v>
      </c>
      <c r="M33" s="5">
        <v>288023</v>
      </c>
      <c r="N33" s="5">
        <v>1063079847</v>
      </c>
      <c r="O33" s="5">
        <v>26746</v>
      </c>
      <c r="P33" s="5">
        <v>299964</v>
      </c>
      <c r="Q33" s="5">
        <v>1104878745</v>
      </c>
    </row>
    <row r="34" spans="1:17" x14ac:dyDescent="0.3">
      <c r="A34" t="s">
        <v>71</v>
      </c>
      <c r="B34" t="s">
        <v>116</v>
      </c>
      <c r="C34" s="5">
        <v>73431</v>
      </c>
      <c r="D34" s="5">
        <v>213544</v>
      </c>
      <c r="E34" s="5">
        <v>64180655</v>
      </c>
      <c r="F34" s="5">
        <v>72984</v>
      </c>
      <c r="G34" s="5">
        <v>205378</v>
      </c>
      <c r="H34" s="5">
        <v>70154577</v>
      </c>
      <c r="I34" s="5">
        <v>72058</v>
      </c>
      <c r="J34" s="5">
        <v>196379</v>
      </c>
      <c r="K34" s="5">
        <v>68306009</v>
      </c>
      <c r="L34" s="5">
        <v>71119</v>
      </c>
      <c r="M34" s="5">
        <v>193591</v>
      </c>
      <c r="N34" s="5">
        <v>67492333</v>
      </c>
      <c r="O34" s="5">
        <v>68325</v>
      </c>
      <c r="P34" s="5">
        <v>188936</v>
      </c>
      <c r="Q34" s="5">
        <v>68714068</v>
      </c>
    </row>
    <row r="35" spans="1:17" x14ac:dyDescent="0.3">
      <c r="A35" t="s">
        <v>71</v>
      </c>
      <c r="B35" t="s">
        <v>117</v>
      </c>
      <c r="C35" s="5">
        <v>85480</v>
      </c>
      <c r="D35" s="5">
        <v>590946</v>
      </c>
      <c r="E35" s="5">
        <v>114903549</v>
      </c>
      <c r="F35" s="5">
        <v>82402</v>
      </c>
      <c r="G35" s="5">
        <v>597759</v>
      </c>
      <c r="H35" s="5">
        <v>131761445</v>
      </c>
      <c r="I35" s="5">
        <v>81166</v>
      </c>
      <c r="J35" s="5">
        <v>605708</v>
      </c>
      <c r="K35" s="5">
        <v>151716259</v>
      </c>
      <c r="L35" s="5">
        <v>80707</v>
      </c>
      <c r="M35" s="5">
        <v>628504</v>
      </c>
      <c r="N35" s="5">
        <v>168893177</v>
      </c>
      <c r="O35" s="5">
        <v>81006</v>
      </c>
      <c r="P35" s="5">
        <v>630526</v>
      </c>
      <c r="Q35" s="5">
        <v>183624324</v>
      </c>
    </row>
    <row r="36" spans="1:17" x14ac:dyDescent="0.3">
      <c r="A36" t="s">
        <v>71</v>
      </c>
      <c r="B36" t="s">
        <v>118</v>
      </c>
      <c r="C36" s="5">
        <v>34072</v>
      </c>
      <c r="D36" s="5">
        <v>505800</v>
      </c>
      <c r="E36" s="5">
        <v>40355567</v>
      </c>
      <c r="F36" s="5">
        <v>31460</v>
      </c>
      <c r="G36" s="5">
        <v>492983</v>
      </c>
      <c r="H36" s="5">
        <v>42330689</v>
      </c>
      <c r="I36" s="5">
        <v>29595</v>
      </c>
      <c r="J36" s="5">
        <v>488351</v>
      </c>
      <c r="K36" s="5">
        <v>43742195</v>
      </c>
      <c r="L36" s="5">
        <v>28626</v>
      </c>
      <c r="M36" s="5">
        <v>524790</v>
      </c>
      <c r="N36" s="5">
        <v>47634633</v>
      </c>
      <c r="O36" s="5">
        <v>27912</v>
      </c>
      <c r="P36" s="5">
        <v>520190</v>
      </c>
      <c r="Q36" s="5">
        <v>49121719</v>
      </c>
    </row>
    <row r="37" spans="1:17" x14ac:dyDescent="0.3">
      <c r="A37" t="s">
        <v>71</v>
      </c>
      <c r="B37" t="s">
        <v>119</v>
      </c>
      <c r="C37" s="5">
        <v>1374</v>
      </c>
      <c r="D37" s="5">
        <v>156605</v>
      </c>
      <c r="E37" s="5">
        <v>29881344</v>
      </c>
      <c r="F37" s="5">
        <v>1369</v>
      </c>
      <c r="G37" s="5">
        <v>161167</v>
      </c>
      <c r="H37" s="5">
        <v>30517170</v>
      </c>
      <c r="I37" s="5">
        <v>1365</v>
      </c>
      <c r="J37" s="5">
        <v>165663</v>
      </c>
      <c r="K37" s="5">
        <v>37754054</v>
      </c>
      <c r="L37" s="5">
        <v>1334</v>
      </c>
      <c r="M37" s="5">
        <v>163456</v>
      </c>
      <c r="N37" s="5">
        <v>33331870</v>
      </c>
      <c r="O37" s="5">
        <v>1316</v>
      </c>
      <c r="P37" s="5">
        <v>163874</v>
      </c>
      <c r="Q37" s="5">
        <v>35872602</v>
      </c>
    </row>
    <row r="38" spans="1:17" x14ac:dyDescent="0.3">
      <c r="A38" t="s">
        <v>71</v>
      </c>
      <c r="B38" t="s">
        <v>120</v>
      </c>
      <c r="C38" s="5">
        <v>44933</v>
      </c>
      <c r="D38" s="5">
        <v>354237</v>
      </c>
      <c r="E38" s="5">
        <v>26772815</v>
      </c>
      <c r="F38" s="5">
        <v>46855</v>
      </c>
      <c r="G38" s="5">
        <v>361663</v>
      </c>
      <c r="H38" s="5">
        <v>26656618</v>
      </c>
      <c r="I38" s="5">
        <v>47002</v>
      </c>
      <c r="J38" s="5">
        <v>365167</v>
      </c>
      <c r="K38" s="5">
        <v>26837703</v>
      </c>
      <c r="L38" s="5">
        <v>49232</v>
      </c>
      <c r="M38" s="5">
        <v>364171</v>
      </c>
      <c r="N38" s="5">
        <v>28805218</v>
      </c>
      <c r="O38" s="5">
        <v>50822</v>
      </c>
      <c r="P38" s="5">
        <v>366094</v>
      </c>
      <c r="Q38" s="5">
        <v>29541691</v>
      </c>
    </row>
    <row r="39" spans="1:17" x14ac:dyDescent="0.3">
      <c r="A39" t="s">
        <v>71</v>
      </c>
      <c r="B39" t="s">
        <v>121</v>
      </c>
      <c r="C39" s="5">
        <v>31268</v>
      </c>
      <c r="D39" s="5">
        <v>443245</v>
      </c>
      <c r="E39" s="5">
        <v>42483301</v>
      </c>
      <c r="F39" s="5">
        <v>31866</v>
      </c>
      <c r="G39" s="5">
        <v>450396</v>
      </c>
      <c r="H39" s="5">
        <v>47014260</v>
      </c>
      <c r="I39" s="5">
        <v>32319</v>
      </c>
      <c r="J39" s="5">
        <v>470395</v>
      </c>
      <c r="K39" s="5">
        <v>50418522</v>
      </c>
      <c r="L39" s="5">
        <v>32286</v>
      </c>
      <c r="M39" s="5">
        <v>486955</v>
      </c>
      <c r="N39" s="5">
        <v>52072672</v>
      </c>
      <c r="O39" s="5">
        <v>32815</v>
      </c>
      <c r="P39" s="5">
        <v>508898</v>
      </c>
      <c r="Q39" s="5">
        <v>56714077</v>
      </c>
    </row>
    <row r="40" spans="1:17" x14ac:dyDescent="0.3">
      <c r="A40" t="s">
        <v>71</v>
      </c>
      <c r="B40" t="s">
        <v>122</v>
      </c>
      <c r="C40" s="5">
        <v>30044</v>
      </c>
      <c r="D40" s="5">
        <v>88627</v>
      </c>
      <c r="E40" s="5">
        <v>12942567</v>
      </c>
      <c r="F40" s="5">
        <v>28722</v>
      </c>
      <c r="G40" s="5">
        <v>88491</v>
      </c>
      <c r="H40" s="5">
        <v>11131669</v>
      </c>
      <c r="I40" s="5">
        <v>28242</v>
      </c>
      <c r="J40" s="5">
        <v>90030</v>
      </c>
      <c r="K40" s="5">
        <v>14459550</v>
      </c>
      <c r="L40" s="5">
        <v>28777</v>
      </c>
      <c r="M40" s="5">
        <v>91995</v>
      </c>
      <c r="N40" s="5">
        <v>16230434</v>
      </c>
      <c r="O40" s="5">
        <v>30188</v>
      </c>
      <c r="P40" s="5">
        <v>93249</v>
      </c>
      <c r="Q40" s="5">
        <v>16649611</v>
      </c>
    </row>
    <row r="41" spans="1:17" x14ac:dyDescent="0.3">
      <c r="A41" t="s">
        <v>71</v>
      </c>
      <c r="B41" t="s">
        <v>123</v>
      </c>
      <c r="C41" s="5">
        <v>80470</v>
      </c>
      <c r="D41" s="5">
        <v>195171</v>
      </c>
      <c r="E41" s="5">
        <v>18779748</v>
      </c>
      <c r="F41" s="5">
        <v>77887</v>
      </c>
      <c r="G41" s="5">
        <v>186496</v>
      </c>
      <c r="H41" s="5">
        <v>20007020</v>
      </c>
      <c r="I41" s="5">
        <v>77916</v>
      </c>
      <c r="J41" s="5">
        <v>185909</v>
      </c>
      <c r="K41" s="5">
        <v>21993710</v>
      </c>
      <c r="L41" s="5">
        <v>79403</v>
      </c>
      <c r="M41" s="5">
        <v>183832</v>
      </c>
      <c r="N41" s="5">
        <v>23645122</v>
      </c>
      <c r="O41" s="5">
        <v>82787</v>
      </c>
      <c r="P41" s="5">
        <v>190475</v>
      </c>
      <c r="Q41" s="5">
        <v>27689631</v>
      </c>
    </row>
    <row r="42" spans="1:17" x14ac:dyDescent="0.3">
      <c r="A42" s="7" t="s">
        <v>72</v>
      </c>
      <c r="B42" s="7" t="s">
        <v>104</v>
      </c>
      <c r="C42" s="8">
        <v>283033</v>
      </c>
      <c r="D42" s="8">
        <v>1010557</v>
      </c>
      <c r="E42" s="8">
        <v>193823254</v>
      </c>
      <c r="F42" s="8">
        <v>279798</v>
      </c>
      <c r="G42" s="8">
        <v>1004563</v>
      </c>
      <c r="H42" s="8">
        <v>215868161</v>
      </c>
      <c r="I42" s="8">
        <v>279223</v>
      </c>
      <c r="J42" s="8">
        <v>1014987</v>
      </c>
      <c r="K42" s="8">
        <v>251979654</v>
      </c>
      <c r="L42" s="8">
        <v>285388</v>
      </c>
      <c r="M42" s="8">
        <v>1028785</v>
      </c>
      <c r="N42" s="8">
        <v>261039253</v>
      </c>
      <c r="O42" s="8">
        <v>286841</v>
      </c>
      <c r="P42" s="8">
        <v>1021246</v>
      </c>
      <c r="Q42" s="8">
        <v>254436148</v>
      </c>
    </row>
    <row r="43" spans="1:17" x14ac:dyDescent="0.3">
      <c r="A43" s="7" t="s">
        <v>72</v>
      </c>
      <c r="B43" s="7" t="s">
        <v>105</v>
      </c>
      <c r="C43" s="8">
        <v>67</v>
      </c>
      <c r="D43" s="8">
        <v>466</v>
      </c>
      <c r="E43" s="8">
        <v>68356</v>
      </c>
      <c r="F43" s="8">
        <v>58</v>
      </c>
      <c r="G43" s="8">
        <v>389</v>
      </c>
      <c r="H43" s="8">
        <v>54845</v>
      </c>
      <c r="I43" s="8">
        <v>58</v>
      </c>
      <c r="J43" s="8">
        <v>393</v>
      </c>
      <c r="K43" s="8">
        <v>67002</v>
      </c>
      <c r="L43" s="8">
        <v>96</v>
      </c>
      <c r="M43" s="8">
        <v>575</v>
      </c>
      <c r="N43" s="8">
        <v>126464</v>
      </c>
      <c r="O43" s="8">
        <v>83</v>
      </c>
      <c r="P43" s="8">
        <v>563</v>
      </c>
      <c r="Q43" s="8">
        <v>137599</v>
      </c>
    </row>
    <row r="44" spans="1:17" x14ac:dyDescent="0.3">
      <c r="A44" s="7" t="s">
        <v>72</v>
      </c>
      <c r="B44" s="7" t="s">
        <v>106</v>
      </c>
      <c r="C44" s="8">
        <v>9</v>
      </c>
      <c r="D44" s="8">
        <v>31</v>
      </c>
      <c r="E44" s="8">
        <v>4098</v>
      </c>
      <c r="F44" s="8">
        <v>9</v>
      </c>
      <c r="G44" s="8">
        <v>23</v>
      </c>
      <c r="H44" s="8">
        <v>2991</v>
      </c>
      <c r="I44" s="8">
        <v>9</v>
      </c>
      <c r="J44" s="8">
        <v>19</v>
      </c>
      <c r="K44" s="8">
        <v>2559</v>
      </c>
      <c r="L44" s="8">
        <v>10</v>
      </c>
      <c r="M44" s="8">
        <v>84</v>
      </c>
      <c r="N44" s="8">
        <v>42856</v>
      </c>
      <c r="O44" s="8">
        <v>8</v>
      </c>
      <c r="P44" s="8">
        <v>73</v>
      </c>
      <c r="Q44" s="8">
        <v>26456</v>
      </c>
    </row>
    <row r="45" spans="1:17" x14ac:dyDescent="0.3">
      <c r="A45" s="7" t="s">
        <v>72</v>
      </c>
      <c r="B45" s="7" t="s">
        <v>107</v>
      </c>
      <c r="C45" s="8">
        <v>33258</v>
      </c>
      <c r="D45" s="8">
        <v>173382</v>
      </c>
      <c r="E45" s="8">
        <v>38722125</v>
      </c>
      <c r="F45" s="8">
        <v>32690</v>
      </c>
      <c r="G45" s="8">
        <v>169828</v>
      </c>
      <c r="H45" s="8">
        <v>45894871</v>
      </c>
      <c r="I45" s="8">
        <v>32445</v>
      </c>
      <c r="J45" s="8">
        <v>169297</v>
      </c>
      <c r="K45" s="8">
        <v>53786536</v>
      </c>
      <c r="L45" s="8">
        <v>30025</v>
      </c>
      <c r="M45" s="8">
        <v>164964</v>
      </c>
      <c r="N45" s="8">
        <v>54360204</v>
      </c>
      <c r="O45" s="8">
        <v>28408</v>
      </c>
      <c r="P45" s="8">
        <v>159551</v>
      </c>
      <c r="Q45" s="8">
        <v>53114622</v>
      </c>
    </row>
    <row r="46" spans="1:17" x14ac:dyDescent="0.3">
      <c r="A46" s="7" t="s">
        <v>72</v>
      </c>
      <c r="B46" s="7" t="s">
        <v>108</v>
      </c>
      <c r="C46" s="8">
        <v>670</v>
      </c>
      <c r="D46" s="8">
        <v>3626</v>
      </c>
      <c r="E46" s="8">
        <v>11316668</v>
      </c>
      <c r="F46" s="8">
        <v>651</v>
      </c>
      <c r="G46" s="8">
        <v>3308</v>
      </c>
      <c r="H46" s="8">
        <v>12429598</v>
      </c>
      <c r="I46" s="8">
        <v>705</v>
      </c>
      <c r="J46" s="8">
        <v>3391</v>
      </c>
      <c r="K46" s="8">
        <v>22285389</v>
      </c>
      <c r="L46" s="8">
        <v>1357</v>
      </c>
      <c r="M46" s="8">
        <v>4014</v>
      </c>
      <c r="N46" s="8">
        <v>19955367</v>
      </c>
      <c r="O46" s="8">
        <v>1965</v>
      </c>
      <c r="P46" s="8">
        <v>4561</v>
      </c>
      <c r="Q46" s="8">
        <v>17959246</v>
      </c>
    </row>
    <row r="47" spans="1:17" x14ac:dyDescent="0.3">
      <c r="A47" s="7" t="s">
        <v>72</v>
      </c>
      <c r="B47" s="7" t="s">
        <v>109</v>
      </c>
      <c r="C47" s="8">
        <v>470</v>
      </c>
      <c r="D47" s="8">
        <v>4436</v>
      </c>
      <c r="E47" s="8">
        <v>1065871</v>
      </c>
      <c r="F47" s="8">
        <v>467</v>
      </c>
      <c r="G47" s="8">
        <v>4488</v>
      </c>
      <c r="H47" s="8">
        <v>1217460</v>
      </c>
      <c r="I47" s="8">
        <v>484</v>
      </c>
      <c r="J47" s="8">
        <v>4498</v>
      </c>
      <c r="K47" s="8">
        <v>1297316</v>
      </c>
      <c r="L47" s="8">
        <v>499</v>
      </c>
      <c r="M47" s="8">
        <v>4670</v>
      </c>
      <c r="N47" s="8">
        <v>1292757</v>
      </c>
      <c r="O47" s="8">
        <v>496</v>
      </c>
      <c r="P47" s="8">
        <v>4663</v>
      </c>
      <c r="Q47" s="8">
        <v>1513655</v>
      </c>
    </row>
    <row r="48" spans="1:17" x14ac:dyDescent="0.3">
      <c r="A48" s="7" t="s">
        <v>72</v>
      </c>
      <c r="B48" s="7" t="s">
        <v>110</v>
      </c>
      <c r="C48" s="8">
        <v>19397</v>
      </c>
      <c r="D48" s="8">
        <v>87039</v>
      </c>
      <c r="E48" s="8">
        <v>14504355</v>
      </c>
      <c r="F48" s="8">
        <v>19393</v>
      </c>
      <c r="G48" s="8">
        <v>75353</v>
      </c>
      <c r="H48" s="8">
        <v>16268453</v>
      </c>
      <c r="I48" s="8">
        <v>19535</v>
      </c>
      <c r="J48" s="8">
        <v>75231</v>
      </c>
      <c r="K48" s="8">
        <v>17330752</v>
      </c>
      <c r="L48" s="8">
        <v>20206</v>
      </c>
      <c r="M48" s="8">
        <v>73138</v>
      </c>
      <c r="N48" s="8">
        <v>19873291</v>
      </c>
      <c r="O48" s="8">
        <v>20418</v>
      </c>
      <c r="P48" s="8">
        <v>70905</v>
      </c>
      <c r="Q48" s="8">
        <v>17285417</v>
      </c>
    </row>
    <row r="49" spans="1:17" x14ac:dyDescent="0.3">
      <c r="A49" s="7" t="s">
        <v>72</v>
      </c>
      <c r="B49" s="7" t="s">
        <v>111</v>
      </c>
      <c r="C49" s="8">
        <v>77644</v>
      </c>
      <c r="D49" s="8">
        <v>161985</v>
      </c>
      <c r="E49" s="8">
        <v>50289107</v>
      </c>
      <c r="F49" s="8">
        <v>74078</v>
      </c>
      <c r="G49" s="8">
        <v>159185</v>
      </c>
      <c r="H49" s="8">
        <v>55084498</v>
      </c>
      <c r="I49" s="8">
        <v>72840</v>
      </c>
      <c r="J49" s="8">
        <v>155393</v>
      </c>
      <c r="K49" s="8">
        <v>58380051</v>
      </c>
      <c r="L49" s="8">
        <v>75135</v>
      </c>
      <c r="M49" s="8">
        <v>155834</v>
      </c>
      <c r="N49" s="8">
        <v>59280913</v>
      </c>
      <c r="O49" s="8">
        <v>76045</v>
      </c>
      <c r="P49" s="8">
        <v>152493</v>
      </c>
      <c r="Q49" s="8">
        <v>58627014</v>
      </c>
    </row>
    <row r="50" spans="1:17" x14ac:dyDescent="0.3">
      <c r="A50" s="7" t="s">
        <v>72</v>
      </c>
      <c r="B50" s="7" t="s">
        <v>112</v>
      </c>
      <c r="C50" s="8">
        <v>29382</v>
      </c>
      <c r="D50" s="8">
        <v>55003</v>
      </c>
      <c r="E50" s="8">
        <v>5668643</v>
      </c>
      <c r="F50" s="8">
        <v>31075</v>
      </c>
      <c r="G50" s="8">
        <v>56222</v>
      </c>
      <c r="H50" s="8">
        <v>6285284</v>
      </c>
      <c r="I50" s="8">
        <v>31605</v>
      </c>
      <c r="J50" s="8">
        <v>56927</v>
      </c>
      <c r="K50" s="8">
        <v>7019219</v>
      </c>
      <c r="L50" s="8">
        <v>34118</v>
      </c>
      <c r="M50" s="8">
        <v>59657</v>
      </c>
      <c r="N50" s="8">
        <v>6832418</v>
      </c>
      <c r="O50" s="8">
        <v>33457</v>
      </c>
      <c r="P50" s="8">
        <v>59297</v>
      </c>
      <c r="Q50" s="8">
        <v>6701286</v>
      </c>
    </row>
    <row r="51" spans="1:17" x14ac:dyDescent="0.3">
      <c r="A51" s="7" t="s">
        <v>72</v>
      </c>
      <c r="B51" s="7" t="s">
        <v>113</v>
      </c>
      <c r="C51" s="8">
        <v>38760</v>
      </c>
      <c r="D51" s="8">
        <v>88027</v>
      </c>
      <c r="E51" s="8">
        <v>5491820</v>
      </c>
      <c r="F51" s="8">
        <v>38117</v>
      </c>
      <c r="G51" s="8">
        <v>88808</v>
      </c>
      <c r="H51" s="8">
        <v>5963449</v>
      </c>
      <c r="I51" s="8">
        <v>37517</v>
      </c>
      <c r="J51" s="8">
        <v>92541</v>
      </c>
      <c r="K51" s="8">
        <v>7017128</v>
      </c>
      <c r="L51" s="8">
        <v>37976</v>
      </c>
      <c r="M51" s="8">
        <v>97701</v>
      </c>
      <c r="N51" s="8">
        <v>7765286</v>
      </c>
      <c r="O51" s="8">
        <v>37729</v>
      </c>
      <c r="P51" s="8">
        <v>94265</v>
      </c>
      <c r="Q51" s="8">
        <v>8118606</v>
      </c>
    </row>
    <row r="52" spans="1:17" x14ac:dyDescent="0.3">
      <c r="A52" s="7" t="s">
        <v>72</v>
      </c>
      <c r="B52" s="7" t="s">
        <v>114</v>
      </c>
      <c r="C52" s="8">
        <v>2667</v>
      </c>
      <c r="D52" s="8">
        <v>15655</v>
      </c>
      <c r="E52" s="8">
        <v>4126080</v>
      </c>
      <c r="F52" s="8">
        <v>2812</v>
      </c>
      <c r="G52" s="8">
        <v>16564</v>
      </c>
      <c r="H52" s="8">
        <v>4300131</v>
      </c>
      <c r="I52" s="8">
        <v>3009</v>
      </c>
      <c r="J52" s="8">
        <v>16931</v>
      </c>
      <c r="K52" s="8">
        <v>4480254</v>
      </c>
      <c r="L52" s="8">
        <v>3052</v>
      </c>
      <c r="M52" s="8">
        <v>16924</v>
      </c>
      <c r="N52" s="8">
        <v>4256826</v>
      </c>
      <c r="O52" s="8">
        <v>3141</v>
      </c>
      <c r="P52" s="8">
        <v>15968</v>
      </c>
      <c r="Q52" s="8">
        <v>4327771</v>
      </c>
    </row>
    <row r="53" spans="1:17" x14ac:dyDescent="0.3">
      <c r="A53" s="7" t="s">
        <v>72</v>
      </c>
      <c r="B53" s="7" t="s">
        <v>115</v>
      </c>
      <c r="C53" s="8">
        <v>2860</v>
      </c>
      <c r="D53" s="8">
        <v>30722</v>
      </c>
      <c r="E53" s="8">
        <v>24755039</v>
      </c>
      <c r="F53" s="8">
        <v>2789</v>
      </c>
      <c r="G53" s="8">
        <v>30442</v>
      </c>
      <c r="H53" s="8">
        <v>23391686</v>
      </c>
      <c r="I53" s="8">
        <v>2711</v>
      </c>
      <c r="J53" s="8">
        <v>31189</v>
      </c>
      <c r="K53" s="8">
        <v>29804888</v>
      </c>
      <c r="L53" s="8">
        <v>2843</v>
      </c>
      <c r="M53" s="8">
        <v>31052</v>
      </c>
      <c r="N53" s="8">
        <v>33845697</v>
      </c>
      <c r="O53" s="8">
        <v>2895</v>
      </c>
      <c r="P53" s="8">
        <v>32499</v>
      </c>
      <c r="Q53" s="8">
        <v>33878093</v>
      </c>
    </row>
    <row r="54" spans="1:17" x14ac:dyDescent="0.3">
      <c r="A54" s="7" t="s">
        <v>72</v>
      </c>
      <c r="B54" s="7" t="s">
        <v>116</v>
      </c>
      <c r="C54" s="8">
        <v>12552</v>
      </c>
      <c r="D54" s="8">
        <v>29296</v>
      </c>
      <c r="E54" s="8">
        <v>7028122</v>
      </c>
      <c r="F54" s="8">
        <v>12607</v>
      </c>
      <c r="G54" s="8">
        <v>30461</v>
      </c>
      <c r="H54" s="8">
        <v>9808847</v>
      </c>
      <c r="I54" s="8">
        <v>12522</v>
      </c>
      <c r="J54" s="8">
        <v>29852</v>
      </c>
      <c r="K54" s="8">
        <v>9600229</v>
      </c>
      <c r="L54" s="8">
        <v>12480</v>
      </c>
      <c r="M54" s="8">
        <v>28935</v>
      </c>
      <c r="N54" s="8">
        <v>13557283</v>
      </c>
      <c r="O54" s="8">
        <v>12214</v>
      </c>
      <c r="P54" s="8">
        <v>29114</v>
      </c>
      <c r="Q54" s="8">
        <v>10239691</v>
      </c>
    </row>
    <row r="55" spans="1:17" x14ac:dyDescent="0.3">
      <c r="A55" s="7" t="s">
        <v>72</v>
      </c>
      <c r="B55" s="7" t="s">
        <v>117</v>
      </c>
      <c r="C55" s="8">
        <v>8249</v>
      </c>
      <c r="D55" s="8">
        <v>34183</v>
      </c>
      <c r="E55" s="8">
        <v>4044699</v>
      </c>
      <c r="F55" s="8">
        <v>8299</v>
      </c>
      <c r="G55" s="8">
        <v>34582</v>
      </c>
      <c r="H55" s="8">
        <v>5608717</v>
      </c>
      <c r="I55" s="8">
        <v>8293</v>
      </c>
      <c r="J55" s="8">
        <v>34584</v>
      </c>
      <c r="K55" s="8">
        <v>6346592</v>
      </c>
      <c r="L55" s="8">
        <v>8417</v>
      </c>
      <c r="M55" s="8">
        <v>36467</v>
      </c>
      <c r="N55" s="8">
        <v>5939940</v>
      </c>
      <c r="O55" s="8">
        <v>8883</v>
      </c>
      <c r="P55" s="8">
        <v>35746</v>
      </c>
      <c r="Q55" s="8">
        <v>5824289</v>
      </c>
    </row>
    <row r="56" spans="1:17" x14ac:dyDescent="0.3">
      <c r="A56" s="7" t="s">
        <v>72</v>
      </c>
      <c r="B56" s="7" t="s">
        <v>118</v>
      </c>
      <c r="C56" s="8">
        <v>6022</v>
      </c>
      <c r="D56" s="8">
        <v>43863</v>
      </c>
      <c r="E56" s="8">
        <v>3136760</v>
      </c>
      <c r="F56" s="8">
        <v>5524</v>
      </c>
      <c r="G56" s="8">
        <v>43132</v>
      </c>
      <c r="H56" s="8">
        <v>3594399</v>
      </c>
      <c r="I56" s="8">
        <v>5319</v>
      </c>
      <c r="J56" s="8">
        <v>46305</v>
      </c>
      <c r="K56" s="8">
        <v>3609768</v>
      </c>
      <c r="L56" s="8">
        <v>5263</v>
      </c>
      <c r="M56" s="8">
        <v>45788</v>
      </c>
      <c r="N56" s="8">
        <v>3968547</v>
      </c>
      <c r="O56" s="8">
        <v>5339</v>
      </c>
      <c r="P56" s="8">
        <v>46699</v>
      </c>
      <c r="Q56" s="8">
        <v>4836235</v>
      </c>
    </row>
    <row r="57" spans="1:17" x14ac:dyDescent="0.3">
      <c r="A57" s="7" t="s">
        <v>72</v>
      </c>
      <c r="B57" s="7" t="s">
        <v>119</v>
      </c>
      <c r="C57" s="8">
        <v>463</v>
      </c>
      <c r="D57" s="8">
        <v>32628</v>
      </c>
      <c r="E57" s="8">
        <v>6531623</v>
      </c>
      <c r="F57" s="8">
        <v>468</v>
      </c>
      <c r="G57" s="8">
        <v>34447</v>
      </c>
      <c r="H57" s="8">
        <v>8009984</v>
      </c>
      <c r="I57" s="8">
        <v>472</v>
      </c>
      <c r="J57" s="8">
        <v>34571</v>
      </c>
      <c r="K57" s="8">
        <v>11597397</v>
      </c>
      <c r="L57" s="8">
        <v>511</v>
      </c>
      <c r="M57" s="8">
        <v>36921</v>
      </c>
      <c r="N57" s="8">
        <v>9266022</v>
      </c>
      <c r="O57" s="8">
        <v>495</v>
      </c>
      <c r="P57" s="8">
        <v>37580</v>
      </c>
      <c r="Q57" s="8">
        <v>9695376</v>
      </c>
    </row>
    <row r="58" spans="1:17" x14ac:dyDescent="0.3">
      <c r="A58" s="7" t="s">
        <v>72</v>
      </c>
      <c r="B58" s="7" t="s">
        <v>120</v>
      </c>
      <c r="C58" s="8">
        <v>12517</v>
      </c>
      <c r="D58" s="8">
        <v>80049</v>
      </c>
      <c r="E58" s="8">
        <v>5092895</v>
      </c>
      <c r="F58" s="8">
        <v>13107</v>
      </c>
      <c r="G58" s="8">
        <v>81948</v>
      </c>
      <c r="H58" s="8">
        <v>5039363</v>
      </c>
      <c r="I58" s="8">
        <v>13461</v>
      </c>
      <c r="J58" s="8">
        <v>83096</v>
      </c>
      <c r="K58" s="8">
        <v>5244215</v>
      </c>
      <c r="L58" s="8">
        <v>13920</v>
      </c>
      <c r="M58" s="8">
        <v>82152</v>
      </c>
      <c r="N58" s="8">
        <v>5498494</v>
      </c>
      <c r="O58" s="8">
        <v>14319</v>
      </c>
      <c r="P58" s="8">
        <v>82871</v>
      </c>
      <c r="Q58" s="8">
        <v>5853481</v>
      </c>
    </row>
    <row r="59" spans="1:17" x14ac:dyDescent="0.3">
      <c r="A59" s="7" t="s">
        <v>72</v>
      </c>
      <c r="B59" s="7" t="s">
        <v>121</v>
      </c>
      <c r="C59" s="8">
        <v>7532</v>
      </c>
      <c r="D59" s="8">
        <v>112173</v>
      </c>
      <c r="E59" s="8">
        <v>8374014</v>
      </c>
      <c r="F59" s="8">
        <v>7663</v>
      </c>
      <c r="G59" s="8">
        <v>118579</v>
      </c>
      <c r="H59" s="8">
        <v>9251021</v>
      </c>
      <c r="I59" s="8">
        <v>7928</v>
      </c>
      <c r="J59" s="8">
        <v>124130</v>
      </c>
      <c r="K59" s="8">
        <v>10106994</v>
      </c>
      <c r="L59" s="8">
        <v>8135</v>
      </c>
      <c r="M59" s="8">
        <v>132104</v>
      </c>
      <c r="N59" s="8">
        <v>10695662</v>
      </c>
      <c r="O59" s="8">
        <v>8326</v>
      </c>
      <c r="P59" s="8">
        <v>135545</v>
      </c>
      <c r="Q59" s="8">
        <v>11314222</v>
      </c>
    </row>
    <row r="60" spans="1:17" x14ac:dyDescent="0.3">
      <c r="A60" s="7" t="s">
        <v>72</v>
      </c>
      <c r="B60" s="7" t="s">
        <v>122</v>
      </c>
      <c r="C60" s="8">
        <v>6385</v>
      </c>
      <c r="D60" s="8">
        <v>15475</v>
      </c>
      <c r="E60" s="8">
        <v>928940</v>
      </c>
      <c r="F60" s="8">
        <v>6364</v>
      </c>
      <c r="G60" s="8">
        <v>15432</v>
      </c>
      <c r="H60" s="8">
        <v>1023768</v>
      </c>
      <c r="I60" s="8">
        <v>6361</v>
      </c>
      <c r="J60" s="8">
        <v>15637</v>
      </c>
      <c r="K60" s="8">
        <v>1245650</v>
      </c>
      <c r="L60" s="8">
        <v>6386</v>
      </c>
      <c r="M60" s="8">
        <v>16255</v>
      </c>
      <c r="N60" s="8">
        <v>1446766</v>
      </c>
      <c r="O60" s="8">
        <v>6548</v>
      </c>
      <c r="P60" s="8">
        <v>16377</v>
      </c>
      <c r="Q60" s="8">
        <v>1404056</v>
      </c>
    </row>
    <row r="61" spans="1:17" x14ac:dyDescent="0.3">
      <c r="A61" s="7" t="s">
        <v>72</v>
      </c>
      <c r="B61" s="7" t="s">
        <v>123</v>
      </c>
      <c r="C61" s="8">
        <v>24129</v>
      </c>
      <c r="D61" s="8">
        <v>42518</v>
      </c>
      <c r="E61" s="8">
        <v>2674039</v>
      </c>
      <c r="F61" s="8">
        <v>23627</v>
      </c>
      <c r="G61" s="8">
        <v>41372</v>
      </c>
      <c r="H61" s="8">
        <v>2638796</v>
      </c>
      <c r="I61" s="8">
        <v>23949</v>
      </c>
      <c r="J61" s="8">
        <v>41002</v>
      </c>
      <c r="K61" s="8">
        <v>2757715</v>
      </c>
      <c r="L61" s="8">
        <v>24959</v>
      </c>
      <c r="M61" s="8">
        <v>41550</v>
      </c>
      <c r="N61" s="8">
        <v>3034460</v>
      </c>
      <c r="O61" s="8">
        <v>26072</v>
      </c>
      <c r="P61" s="8">
        <v>42476</v>
      </c>
      <c r="Q61" s="8">
        <v>3579033</v>
      </c>
    </row>
  </sheetData>
  <autoFilter ref="A1:Q1" xr:uid="{C0228D07-1726-464D-ABAF-47EF17CF93FC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582A-2E18-4FD7-97DE-D7194EE4B737}">
  <dimension ref="A1:F56"/>
  <sheetViews>
    <sheetView showGridLines="0" workbookViewId="0"/>
  </sheetViews>
  <sheetFormatPr defaultRowHeight="16.5" x14ac:dyDescent="0.3"/>
  <cols>
    <col min="1" max="1" width="24.625" customWidth="1"/>
    <col min="2" max="8" width="13.625" customWidth="1"/>
  </cols>
  <sheetData>
    <row r="1" spans="1:6" ht="19.5" x14ac:dyDescent="0.3">
      <c r="A1" s="11" t="s">
        <v>152</v>
      </c>
    </row>
    <row r="2" spans="1:6" x14ac:dyDescent="0.3">
      <c r="A2" s="12" t="s">
        <v>145</v>
      </c>
      <c r="B2" s="12">
        <v>2020</v>
      </c>
      <c r="C2" s="12">
        <v>2021</v>
      </c>
      <c r="D2" s="12">
        <v>2022</v>
      </c>
      <c r="E2" s="12">
        <v>2023</v>
      </c>
      <c r="F2" s="12">
        <v>2024</v>
      </c>
    </row>
    <row r="3" spans="1:6" x14ac:dyDescent="0.3">
      <c r="A3" t="s">
        <v>59</v>
      </c>
      <c r="B3" s="5">
        <f>N('사업체_산업별(2020~24)'!C49)</f>
        <v>77644</v>
      </c>
      <c r="C3" s="5">
        <f>N('사업체_산업별(2020~24)'!F49)</f>
        <v>74078</v>
      </c>
      <c r="D3" s="5">
        <f>N('사업체_산업별(2020~24)'!I49)</f>
        <v>72840</v>
      </c>
      <c r="E3" s="5">
        <f>N('사업체_산업별(2020~24)'!L49)</f>
        <v>75135</v>
      </c>
      <c r="F3" s="5">
        <f>N('사업체_산업별(2020~24)'!O49)</f>
        <v>76045</v>
      </c>
    </row>
    <row r="4" spans="1:6" x14ac:dyDescent="0.3">
      <c r="A4" t="s">
        <v>61</v>
      </c>
      <c r="B4" s="5">
        <f>N('사업체_산업별(2020~24)'!C51)</f>
        <v>38760</v>
      </c>
      <c r="C4" s="5">
        <f>N('사업체_산업별(2020~24)'!F51)</f>
        <v>38117</v>
      </c>
      <c r="D4" s="5">
        <f>N('사업체_산업별(2020~24)'!I51)</f>
        <v>37517</v>
      </c>
      <c r="E4" s="5">
        <f>N('사업체_산업별(2020~24)'!L51)</f>
        <v>37976</v>
      </c>
      <c r="F4" s="5">
        <f>N('사업체_산업별(2020~24)'!O51)</f>
        <v>37729</v>
      </c>
    </row>
    <row r="5" spans="1:6" x14ac:dyDescent="0.3">
      <c r="A5" t="s">
        <v>60</v>
      </c>
      <c r="B5" s="5">
        <f>N('사업체_산업별(2020~24)'!C50)</f>
        <v>29382</v>
      </c>
      <c r="C5" s="5">
        <f>N('사업체_산업별(2020~24)'!F50)</f>
        <v>31075</v>
      </c>
      <c r="D5" s="5">
        <f>N('사업체_산업별(2020~24)'!I50)</f>
        <v>31605</v>
      </c>
      <c r="E5" s="5">
        <f>N('사업체_산업별(2020~24)'!L50)</f>
        <v>34118</v>
      </c>
      <c r="F5" s="5">
        <f>N('사업체_산업별(2020~24)'!O50)</f>
        <v>33457</v>
      </c>
    </row>
    <row r="6" spans="1:6" x14ac:dyDescent="0.3">
      <c r="A6" t="s">
        <v>55</v>
      </c>
      <c r="B6" s="5">
        <f>N('사업체_산업별(2020~24)'!C45)</f>
        <v>33258</v>
      </c>
      <c r="C6" s="5">
        <f>N('사업체_산업별(2020~24)'!F45)</f>
        <v>32690</v>
      </c>
      <c r="D6" s="5">
        <f>N('사업체_산업별(2020~24)'!I45)</f>
        <v>32445</v>
      </c>
      <c r="E6" s="5">
        <f>N('사업체_산업별(2020~24)'!L45)</f>
        <v>30025</v>
      </c>
      <c r="F6" s="5">
        <f>N('사업체_산업별(2020~24)'!O45)</f>
        <v>28408</v>
      </c>
    </row>
    <row r="7" spans="1:6" x14ac:dyDescent="0.3">
      <c r="A7" t="s">
        <v>153</v>
      </c>
      <c r="B7" s="5">
        <f>N('사업체_산업별(2020~24)'!C61)</f>
        <v>24129</v>
      </c>
      <c r="C7" s="5">
        <f>N('사업체_산업별(2020~24)'!F61)</f>
        <v>23627</v>
      </c>
      <c r="D7" s="5">
        <f>N('사업체_산업별(2020~24)'!I61)</f>
        <v>23949</v>
      </c>
      <c r="E7" s="5">
        <f>N('사업체_산업별(2020~24)'!L61)</f>
        <v>24959</v>
      </c>
      <c r="F7" s="5">
        <f>N('사업체_산업별(2020~24)'!O61)</f>
        <v>26072</v>
      </c>
    </row>
    <row r="8" spans="1:6" x14ac:dyDescent="0.3">
      <c r="A8" t="s">
        <v>58</v>
      </c>
      <c r="B8" s="5">
        <f>N('사업체_산업별(2020~24)'!C48)</f>
        <v>19397</v>
      </c>
      <c r="C8" s="5">
        <f>N('사업체_산업별(2020~24)'!F48)</f>
        <v>19393</v>
      </c>
      <c r="D8" s="5">
        <f>N('사업체_산업별(2020~24)'!I48)</f>
        <v>19535</v>
      </c>
      <c r="E8" s="5">
        <f>N('사업체_산업별(2020~24)'!L48)</f>
        <v>20206</v>
      </c>
      <c r="F8" s="5">
        <f>N('사업체_산업별(2020~24)'!O48)</f>
        <v>20418</v>
      </c>
    </row>
    <row r="9" spans="1:6" x14ac:dyDescent="0.3">
      <c r="A9" t="s">
        <v>147</v>
      </c>
      <c r="B9" s="5">
        <f>B10-SUM(B3:B8)</f>
        <v>60463</v>
      </c>
      <c r="C9" s="5">
        <f>C10-SUM(C3:C8)</f>
        <v>60818</v>
      </c>
      <c r="D9" s="5">
        <f>D10-SUM(D3:D8)</f>
        <v>61332</v>
      </c>
      <c r="E9" s="5">
        <f>E10-SUM(E3:E8)</f>
        <v>62969</v>
      </c>
      <c r="F9" s="5">
        <f>F10-SUM(F3:F8)</f>
        <v>64712</v>
      </c>
    </row>
    <row r="10" spans="1:6" x14ac:dyDescent="0.3">
      <c r="A10" s="10" t="s">
        <v>148</v>
      </c>
      <c r="B10" s="5">
        <f>N('사업체_산업별(2020~24)'!C42)</f>
        <v>283033</v>
      </c>
      <c r="C10" s="5">
        <f>N('사업체_산업별(2020~24)'!F42)</f>
        <v>279798</v>
      </c>
      <c r="D10" s="5">
        <f>N('사업체_산업별(2020~24)'!I42)</f>
        <v>279223</v>
      </c>
      <c r="E10" s="5">
        <f>N('사업체_산업별(2020~24)'!L42)</f>
        <v>285388</v>
      </c>
      <c r="F10" s="5">
        <f>N('사업체_산업별(2020~24)'!O42)</f>
        <v>286841</v>
      </c>
    </row>
    <row r="47" spans="1:6" ht="19.5" x14ac:dyDescent="0.3">
      <c r="A47" s="11" t="s">
        <v>154</v>
      </c>
    </row>
    <row r="48" spans="1:6" x14ac:dyDescent="0.3">
      <c r="A48" s="12" t="s">
        <v>145</v>
      </c>
      <c r="B48" s="12">
        <v>2020</v>
      </c>
      <c r="C48" s="12">
        <v>2021</v>
      </c>
      <c r="D48" s="12">
        <v>2022</v>
      </c>
      <c r="E48" s="12">
        <v>2023</v>
      </c>
      <c r="F48" s="12">
        <v>2024</v>
      </c>
    </row>
    <row r="49" spans="1:6" x14ac:dyDescent="0.3">
      <c r="A49" t="s">
        <v>59</v>
      </c>
      <c r="B49" s="5">
        <f>N('사업체_산업별(2020~24)'!D49)</f>
        <v>161985</v>
      </c>
      <c r="C49" s="5">
        <f>N('사업체_산업별(2020~24)'!G49)</f>
        <v>159185</v>
      </c>
      <c r="D49" s="5">
        <f>N('사업체_산업별(2020~24)'!J49)</f>
        <v>155393</v>
      </c>
      <c r="E49" s="5">
        <f>N('사업체_산업별(2020~24)'!M49)</f>
        <v>155834</v>
      </c>
      <c r="F49" s="5">
        <f>N('사업체_산업별(2020~24)'!P49)</f>
        <v>152493</v>
      </c>
    </row>
    <row r="50" spans="1:6" x14ac:dyDescent="0.3">
      <c r="A50" t="s">
        <v>61</v>
      </c>
      <c r="B50" s="5">
        <f>N('사업체_산업별(2020~24)'!D51)</f>
        <v>88027</v>
      </c>
      <c r="C50" s="5">
        <f>N('사업체_산업별(2020~24)'!G51)</f>
        <v>88808</v>
      </c>
      <c r="D50" s="5">
        <f>N('사업체_산업별(2020~24)'!J51)</f>
        <v>92541</v>
      </c>
      <c r="E50" s="5">
        <f>N('사업체_산업별(2020~24)'!M51)</f>
        <v>97701</v>
      </c>
      <c r="F50" s="5">
        <f>N('사업체_산업별(2020~24)'!P51)</f>
        <v>94265</v>
      </c>
    </row>
    <row r="51" spans="1:6" x14ac:dyDescent="0.3">
      <c r="A51" t="s">
        <v>60</v>
      </c>
      <c r="B51" s="5">
        <f>N('사업체_산업별(2020~24)'!D50)</f>
        <v>55003</v>
      </c>
      <c r="C51" s="5">
        <f>N('사업체_산업별(2020~24)'!G50)</f>
        <v>56222</v>
      </c>
      <c r="D51" s="5">
        <f>N('사업체_산업별(2020~24)'!J50)</f>
        <v>56927</v>
      </c>
      <c r="E51" s="5">
        <f>N('사업체_산업별(2020~24)'!M50)</f>
        <v>59657</v>
      </c>
      <c r="F51" s="5">
        <f>N('사업체_산업별(2020~24)'!P50)</f>
        <v>59297</v>
      </c>
    </row>
    <row r="52" spans="1:6" x14ac:dyDescent="0.3">
      <c r="A52" t="s">
        <v>55</v>
      </c>
      <c r="B52" s="5">
        <f>N('사업체_산업별(2020~24)'!D45)</f>
        <v>173382</v>
      </c>
      <c r="C52" s="5">
        <f>N('사업체_산업별(2020~24)'!G45)</f>
        <v>169828</v>
      </c>
      <c r="D52" s="5">
        <f>N('사업체_산업별(2020~24)'!J45)</f>
        <v>169297</v>
      </c>
      <c r="E52" s="5">
        <f>N('사업체_산업별(2020~24)'!M45)</f>
        <v>164964</v>
      </c>
      <c r="F52" s="5">
        <f>N('사업체_산업별(2020~24)'!P45)</f>
        <v>159551</v>
      </c>
    </row>
    <row r="53" spans="1:6" x14ac:dyDescent="0.3">
      <c r="A53" t="s">
        <v>153</v>
      </c>
      <c r="B53" s="5">
        <f>N('사업체_산업별(2020~24)'!D61)</f>
        <v>42518</v>
      </c>
      <c r="C53" s="5">
        <f>N('사업체_산업별(2020~24)'!G61)</f>
        <v>41372</v>
      </c>
      <c r="D53" s="5">
        <f>N('사업체_산업별(2020~24)'!J61)</f>
        <v>41002</v>
      </c>
      <c r="E53" s="5">
        <f>N('사업체_산업별(2020~24)'!M61)</f>
        <v>41550</v>
      </c>
      <c r="F53" s="5">
        <f>N('사업체_산업별(2020~24)'!P61)</f>
        <v>42476</v>
      </c>
    </row>
    <row r="54" spans="1:6" x14ac:dyDescent="0.3">
      <c r="A54" t="s">
        <v>58</v>
      </c>
      <c r="B54" s="5">
        <f>N('사업체_산업별(2020~24)'!D48)</f>
        <v>87039</v>
      </c>
      <c r="C54" s="5">
        <f>N('사업체_산업별(2020~24)'!G48)</f>
        <v>75353</v>
      </c>
      <c r="D54" s="5">
        <f>N('사업체_산업별(2020~24)'!J48)</f>
        <v>75231</v>
      </c>
      <c r="E54" s="5">
        <f>N('사업체_산업별(2020~24)'!M48)</f>
        <v>73138</v>
      </c>
      <c r="F54" s="5">
        <f>N('사업체_산업별(2020~24)'!P48)</f>
        <v>70905</v>
      </c>
    </row>
    <row r="55" spans="1:6" x14ac:dyDescent="0.3">
      <c r="A55" t="s">
        <v>147</v>
      </c>
      <c r="B55" s="5">
        <f>B56-SUM(B49:B54)</f>
        <v>402603</v>
      </c>
      <c r="C55" s="5">
        <f>C56-SUM(C49:C54)</f>
        <v>413795</v>
      </c>
      <c r="D55" s="5">
        <f>D56-SUM(D49:D54)</f>
        <v>424596</v>
      </c>
      <c r="E55" s="5">
        <f>E56-SUM(E49:E54)</f>
        <v>435941</v>
      </c>
      <c r="F55" s="5">
        <f>F56-SUM(F49:F54)</f>
        <v>442259</v>
      </c>
    </row>
    <row r="56" spans="1:6" x14ac:dyDescent="0.3">
      <c r="A56" s="10" t="s">
        <v>148</v>
      </c>
      <c r="B56" s="5">
        <f>N('사업체_산업별(2020~24)'!D42)</f>
        <v>1010557</v>
      </c>
      <c r="C56" s="5">
        <f>N('사업체_산업별(2020~24)'!G42)</f>
        <v>1004563</v>
      </c>
      <c r="D56" s="5">
        <f>N('사업체_산업별(2020~24)'!J42)</f>
        <v>1014987</v>
      </c>
      <c r="E56" s="5">
        <f>N('사업체_산업별(2020~24)'!M42)</f>
        <v>1028785</v>
      </c>
      <c r="F56" s="5">
        <f>N('사업체_산업별(2020~24)'!P42)</f>
        <v>1021246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8644-CB05-4E5D-8076-D8103DD10E1C}">
  <dimension ref="A1:F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5" x14ac:dyDescent="0.3"/>
  <cols>
    <col min="1" max="1" width="14.625" customWidth="1"/>
    <col min="2" max="2" width="40.625" customWidth="1"/>
    <col min="3" max="6" width="12.625" customWidth="1"/>
  </cols>
  <sheetData>
    <row r="1" spans="1:6" ht="32.1" customHeight="1" x14ac:dyDescent="0.3">
      <c r="A1" s="4" t="s">
        <v>16</v>
      </c>
      <c r="B1" s="4" t="s">
        <v>17</v>
      </c>
      <c r="C1" s="4" t="s">
        <v>124</v>
      </c>
      <c r="D1" s="4" t="s">
        <v>125</v>
      </c>
      <c r="E1" s="4" t="s">
        <v>89</v>
      </c>
      <c r="F1" s="4" t="s">
        <v>90</v>
      </c>
    </row>
    <row r="2" spans="1:6" x14ac:dyDescent="0.3">
      <c r="A2" t="s">
        <v>51</v>
      </c>
      <c r="B2" t="s">
        <v>104</v>
      </c>
      <c r="C2" s="5">
        <v>4176549</v>
      </c>
      <c r="D2" s="5">
        <v>22723272</v>
      </c>
      <c r="E2" s="5">
        <v>4325195</v>
      </c>
      <c r="F2" s="5">
        <v>21583421</v>
      </c>
    </row>
    <row r="3" spans="1:6" x14ac:dyDescent="0.3">
      <c r="A3" t="s">
        <v>51</v>
      </c>
      <c r="B3" t="s">
        <v>105</v>
      </c>
      <c r="C3" s="5">
        <v>4522</v>
      </c>
      <c r="D3" s="5">
        <v>43920</v>
      </c>
      <c r="E3" s="5">
        <v>5948</v>
      </c>
      <c r="F3" s="5">
        <v>47481</v>
      </c>
    </row>
    <row r="4" spans="1:6" x14ac:dyDescent="0.3">
      <c r="A4" t="s">
        <v>51</v>
      </c>
      <c r="B4" t="s">
        <v>106</v>
      </c>
      <c r="C4" s="5">
        <v>1776</v>
      </c>
      <c r="D4" s="5">
        <v>14887</v>
      </c>
      <c r="E4" s="5">
        <v>1654</v>
      </c>
      <c r="F4" s="5">
        <v>13838</v>
      </c>
    </row>
    <row r="5" spans="1:6" x14ac:dyDescent="0.3">
      <c r="A5" t="s">
        <v>51</v>
      </c>
      <c r="B5" t="s">
        <v>107</v>
      </c>
      <c r="C5" s="5">
        <v>440766</v>
      </c>
      <c r="D5" s="5">
        <v>4123817</v>
      </c>
      <c r="E5" s="5">
        <v>453257</v>
      </c>
      <c r="F5" s="5">
        <v>3984905</v>
      </c>
    </row>
    <row r="6" spans="1:6" x14ac:dyDescent="0.3">
      <c r="A6" t="s">
        <v>51</v>
      </c>
      <c r="B6" t="s">
        <v>108</v>
      </c>
      <c r="C6" s="5">
        <v>3119</v>
      </c>
      <c r="D6" s="5">
        <v>67526</v>
      </c>
      <c r="E6" s="5">
        <v>4449</v>
      </c>
      <c r="F6" s="5">
        <v>69138</v>
      </c>
    </row>
    <row r="7" spans="1:6" x14ac:dyDescent="0.3">
      <c r="A7" t="s">
        <v>51</v>
      </c>
      <c r="B7" t="s">
        <v>109</v>
      </c>
      <c r="C7" s="5">
        <v>9423</v>
      </c>
      <c r="D7" s="5">
        <v>114085</v>
      </c>
      <c r="E7" s="5">
        <v>9627</v>
      </c>
      <c r="F7" s="5">
        <v>115110</v>
      </c>
    </row>
    <row r="8" spans="1:6" x14ac:dyDescent="0.3">
      <c r="A8" t="s">
        <v>51</v>
      </c>
      <c r="B8" t="s">
        <v>110</v>
      </c>
      <c r="C8" s="5">
        <v>146293</v>
      </c>
      <c r="D8" s="5">
        <v>1504466</v>
      </c>
      <c r="E8" s="5">
        <v>158401</v>
      </c>
      <c r="F8" s="5">
        <v>1431792</v>
      </c>
    </row>
    <row r="9" spans="1:6" x14ac:dyDescent="0.3">
      <c r="A9" t="s">
        <v>51</v>
      </c>
      <c r="B9" t="s">
        <v>111</v>
      </c>
      <c r="C9" s="5">
        <v>1028323</v>
      </c>
      <c r="D9" s="5">
        <v>3289652</v>
      </c>
      <c r="E9" s="5">
        <v>1064434</v>
      </c>
      <c r="F9" s="5">
        <v>2962630</v>
      </c>
    </row>
    <row r="10" spans="1:6" x14ac:dyDescent="0.3">
      <c r="A10" t="s">
        <v>51</v>
      </c>
      <c r="B10" t="s">
        <v>112</v>
      </c>
      <c r="C10" s="5">
        <v>409288</v>
      </c>
      <c r="D10" s="5">
        <v>1155965</v>
      </c>
      <c r="E10" s="5">
        <v>420889</v>
      </c>
      <c r="F10" s="5">
        <v>1091939</v>
      </c>
    </row>
    <row r="11" spans="1:6" x14ac:dyDescent="0.3">
      <c r="A11" t="s">
        <v>51</v>
      </c>
      <c r="B11" t="s">
        <v>113</v>
      </c>
      <c r="C11" s="5">
        <v>785706</v>
      </c>
      <c r="D11" s="5">
        <v>2384828</v>
      </c>
      <c r="E11" s="5">
        <v>829555</v>
      </c>
      <c r="F11" s="5">
        <v>2023871</v>
      </c>
    </row>
    <row r="12" spans="1:6" x14ac:dyDescent="0.3">
      <c r="A12" t="s">
        <v>51</v>
      </c>
      <c r="B12" t="s">
        <v>114</v>
      </c>
      <c r="C12" s="5">
        <v>45303</v>
      </c>
      <c r="D12" s="5">
        <v>606964</v>
      </c>
      <c r="E12" s="5">
        <v>49435</v>
      </c>
      <c r="F12" s="5">
        <v>620982</v>
      </c>
    </row>
    <row r="13" spans="1:6" x14ac:dyDescent="0.3">
      <c r="A13" t="s">
        <v>51</v>
      </c>
      <c r="B13" t="s">
        <v>115</v>
      </c>
      <c r="C13" s="5">
        <v>43555</v>
      </c>
      <c r="D13" s="5">
        <v>715399</v>
      </c>
      <c r="E13" s="5">
        <v>43242</v>
      </c>
      <c r="F13" s="5">
        <v>680970</v>
      </c>
    </row>
    <row r="14" spans="1:6" x14ac:dyDescent="0.3">
      <c r="A14" t="s">
        <v>51</v>
      </c>
      <c r="B14" t="s">
        <v>116</v>
      </c>
      <c r="C14" s="5">
        <v>168481</v>
      </c>
      <c r="D14" s="5">
        <v>537841</v>
      </c>
      <c r="E14" s="5">
        <v>177046</v>
      </c>
      <c r="F14" s="5">
        <v>510503</v>
      </c>
    </row>
    <row r="15" spans="1:6" x14ac:dyDescent="0.3">
      <c r="A15" t="s">
        <v>51</v>
      </c>
      <c r="B15" t="s">
        <v>117</v>
      </c>
      <c r="C15" s="5">
        <v>118129</v>
      </c>
      <c r="D15" s="5">
        <v>1132049</v>
      </c>
      <c r="E15" s="5">
        <v>129778</v>
      </c>
      <c r="F15" s="5">
        <v>1159853</v>
      </c>
    </row>
    <row r="16" spans="1:6" x14ac:dyDescent="0.3">
      <c r="A16" t="s">
        <v>51</v>
      </c>
      <c r="B16" t="s">
        <v>118</v>
      </c>
      <c r="C16" s="5">
        <v>73282</v>
      </c>
      <c r="D16" s="5">
        <v>1192036</v>
      </c>
      <c r="E16" s="5">
        <v>77568</v>
      </c>
      <c r="F16" s="5">
        <v>1108666</v>
      </c>
    </row>
    <row r="17" spans="1:6" x14ac:dyDescent="0.3">
      <c r="A17" t="s">
        <v>51</v>
      </c>
      <c r="B17" t="s">
        <v>119</v>
      </c>
      <c r="C17" s="5">
        <v>12570</v>
      </c>
      <c r="D17" s="5">
        <v>768733</v>
      </c>
      <c r="E17" s="5">
        <v>12385</v>
      </c>
      <c r="F17" s="5">
        <v>819440</v>
      </c>
    </row>
    <row r="18" spans="1:6" x14ac:dyDescent="0.3">
      <c r="A18" t="s">
        <v>51</v>
      </c>
      <c r="B18" t="s">
        <v>120</v>
      </c>
      <c r="C18" s="5">
        <v>193790</v>
      </c>
      <c r="D18" s="5">
        <v>1672443</v>
      </c>
      <c r="E18" s="5">
        <v>191529</v>
      </c>
      <c r="F18" s="5">
        <v>1579773</v>
      </c>
    </row>
    <row r="19" spans="1:6" x14ac:dyDescent="0.3">
      <c r="A19" t="s">
        <v>51</v>
      </c>
      <c r="B19" t="s">
        <v>121</v>
      </c>
      <c r="C19" s="5">
        <v>150659</v>
      </c>
      <c r="D19" s="5">
        <v>2033034</v>
      </c>
      <c r="E19" s="5">
        <v>149351</v>
      </c>
      <c r="F19" s="5">
        <v>2156232</v>
      </c>
    </row>
    <row r="20" spans="1:6" x14ac:dyDescent="0.3">
      <c r="A20" t="s">
        <v>51</v>
      </c>
      <c r="B20" t="s">
        <v>122</v>
      </c>
      <c r="C20" s="5">
        <v>124621</v>
      </c>
      <c r="D20" s="5">
        <v>458555</v>
      </c>
      <c r="E20" s="5">
        <v>123249</v>
      </c>
      <c r="F20" s="5">
        <v>380824</v>
      </c>
    </row>
    <row r="21" spans="1:6" x14ac:dyDescent="0.3">
      <c r="A21" t="s">
        <v>51</v>
      </c>
      <c r="B21" t="s">
        <v>123</v>
      </c>
      <c r="C21" s="5">
        <v>416943</v>
      </c>
      <c r="D21" s="5">
        <v>907072</v>
      </c>
      <c r="E21" s="5">
        <v>423398</v>
      </c>
      <c r="F21" s="5">
        <v>825474</v>
      </c>
    </row>
    <row r="22" spans="1:6" x14ac:dyDescent="0.3">
      <c r="A22" t="s">
        <v>71</v>
      </c>
      <c r="B22" t="s">
        <v>104</v>
      </c>
      <c r="C22" s="5">
        <v>823624</v>
      </c>
      <c r="D22" s="5">
        <v>5226997</v>
      </c>
      <c r="E22" s="5">
        <v>848552</v>
      </c>
      <c r="F22" s="5">
        <v>5044552</v>
      </c>
    </row>
    <row r="23" spans="1:6" x14ac:dyDescent="0.3">
      <c r="A23" t="s">
        <v>71</v>
      </c>
      <c r="B23" t="s">
        <v>105</v>
      </c>
      <c r="C23" s="5">
        <v>24</v>
      </c>
      <c r="D23" s="5">
        <v>426</v>
      </c>
      <c r="E23" s="5">
        <v>64</v>
      </c>
      <c r="F23" s="5">
        <v>532</v>
      </c>
    </row>
    <row r="24" spans="1:6" x14ac:dyDescent="0.3">
      <c r="A24" t="s">
        <v>71</v>
      </c>
      <c r="B24" t="s">
        <v>106</v>
      </c>
      <c r="C24" s="5">
        <v>20</v>
      </c>
      <c r="D24" s="5">
        <v>43</v>
      </c>
      <c r="E24" s="5">
        <v>11</v>
      </c>
      <c r="F24" s="5">
        <v>58</v>
      </c>
    </row>
    <row r="25" spans="1:6" x14ac:dyDescent="0.3">
      <c r="A25" t="s">
        <v>71</v>
      </c>
      <c r="B25" t="s">
        <v>107</v>
      </c>
      <c r="C25" s="5">
        <v>57321</v>
      </c>
      <c r="D25" s="5">
        <v>265273</v>
      </c>
      <c r="E25" s="5">
        <v>58865</v>
      </c>
      <c r="F25" s="5">
        <v>245843</v>
      </c>
    </row>
    <row r="26" spans="1:6" x14ac:dyDescent="0.3">
      <c r="A26" t="s">
        <v>71</v>
      </c>
      <c r="B26" t="s">
        <v>108</v>
      </c>
      <c r="C26" s="5">
        <v>225</v>
      </c>
      <c r="D26" s="5">
        <v>6234</v>
      </c>
      <c r="E26" s="5">
        <v>212</v>
      </c>
      <c r="F26" s="5">
        <v>6020</v>
      </c>
    </row>
    <row r="27" spans="1:6" x14ac:dyDescent="0.3">
      <c r="A27" t="s">
        <v>71</v>
      </c>
      <c r="B27" t="s">
        <v>109</v>
      </c>
      <c r="C27" s="5">
        <v>475</v>
      </c>
      <c r="D27" s="5">
        <v>9158</v>
      </c>
      <c r="E27" s="5">
        <v>498</v>
      </c>
      <c r="F27" s="5">
        <v>9309</v>
      </c>
    </row>
    <row r="28" spans="1:6" x14ac:dyDescent="0.3">
      <c r="A28" t="s">
        <v>71</v>
      </c>
      <c r="B28" t="s">
        <v>110</v>
      </c>
      <c r="C28" s="5">
        <v>21626</v>
      </c>
      <c r="D28" s="5">
        <v>362785</v>
      </c>
      <c r="E28" s="5">
        <v>22878</v>
      </c>
      <c r="F28" s="5">
        <v>383971</v>
      </c>
    </row>
    <row r="29" spans="1:6" x14ac:dyDescent="0.3">
      <c r="A29" t="s">
        <v>71</v>
      </c>
      <c r="B29" t="s">
        <v>111</v>
      </c>
      <c r="C29" s="5">
        <v>220055</v>
      </c>
      <c r="D29" s="5">
        <v>899642</v>
      </c>
      <c r="E29" s="5">
        <v>226571</v>
      </c>
      <c r="F29" s="5">
        <v>842008</v>
      </c>
    </row>
    <row r="30" spans="1:6" x14ac:dyDescent="0.3">
      <c r="A30" t="s">
        <v>71</v>
      </c>
      <c r="B30" t="s">
        <v>112</v>
      </c>
      <c r="C30" s="5">
        <v>94759</v>
      </c>
      <c r="D30" s="5">
        <v>264181</v>
      </c>
      <c r="E30" s="5">
        <v>95554</v>
      </c>
      <c r="F30" s="5">
        <v>258778</v>
      </c>
    </row>
    <row r="31" spans="1:6" x14ac:dyDescent="0.3">
      <c r="A31" t="s">
        <v>71</v>
      </c>
      <c r="B31" t="s">
        <v>113</v>
      </c>
      <c r="C31" s="5">
        <v>132475</v>
      </c>
      <c r="D31" s="5">
        <v>493912</v>
      </c>
      <c r="E31" s="5">
        <v>138253</v>
      </c>
      <c r="F31" s="5">
        <v>413361</v>
      </c>
    </row>
    <row r="32" spans="1:6" x14ac:dyDescent="0.3">
      <c r="A32" t="s">
        <v>71</v>
      </c>
      <c r="B32" t="s">
        <v>114</v>
      </c>
      <c r="C32" s="5">
        <v>23356</v>
      </c>
      <c r="D32" s="5">
        <v>360062</v>
      </c>
      <c r="E32" s="5">
        <v>25273</v>
      </c>
      <c r="F32" s="5">
        <v>370430</v>
      </c>
    </row>
    <row r="33" spans="1:6" x14ac:dyDescent="0.3">
      <c r="A33" t="s">
        <v>71</v>
      </c>
      <c r="B33" t="s">
        <v>115</v>
      </c>
      <c r="C33" s="5">
        <v>11444</v>
      </c>
      <c r="D33" s="5">
        <v>266110</v>
      </c>
      <c r="E33" s="5">
        <v>11726</v>
      </c>
      <c r="F33" s="5">
        <v>263159</v>
      </c>
    </row>
    <row r="34" spans="1:6" x14ac:dyDescent="0.3">
      <c r="A34" t="s">
        <v>71</v>
      </c>
      <c r="B34" t="s">
        <v>116</v>
      </c>
      <c r="C34" s="5">
        <v>43611</v>
      </c>
      <c r="D34" s="5">
        <v>166094</v>
      </c>
      <c r="E34" s="5">
        <v>44812</v>
      </c>
      <c r="F34" s="5">
        <v>155049</v>
      </c>
    </row>
    <row r="35" spans="1:6" x14ac:dyDescent="0.3">
      <c r="A35" t="s">
        <v>71</v>
      </c>
      <c r="B35" t="s">
        <v>117</v>
      </c>
      <c r="C35" s="5">
        <v>42782</v>
      </c>
      <c r="D35" s="5">
        <v>485150</v>
      </c>
      <c r="E35" s="5">
        <v>47817</v>
      </c>
      <c r="F35" s="5">
        <v>493941</v>
      </c>
    </row>
    <row r="36" spans="1:6" x14ac:dyDescent="0.3">
      <c r="A36" t="s">
        <v>71</v>
      </c>
      <c r="B36" t="s">
        <v>118</v>
      </c>
      <c r="C36" s="5">
        <v>16354</v>
      </c>
      <c r="D36" s="5">
        <v>472573</v>
      </c>
      <c r="E36" s="5">
        <v>17119</v>
      </c>
      <c r="F36" s="5">
        <v>446390</v>
      </c>
    </row>
    <row r="37" spans="1:6" x14ac:dyDescent="0.3">
      <c r="A37" t="s">
        <v>71</v>
      </c>
      <c r="B37" t="s">
        <v>119</v>
      </c>
      <c r="C37" s="5">
        <v>1296</v>
      </c>
      <c r="D37" s="5">
        <v>141582</v>
      </c>
      <c r="E37" s="5">
        <v>1275</v>
      </c>
      <c r="F37" s="5">
        <v>148209</v>
      </c>
    </row>
    <row r="38" spans="1:6" x14ac:dyDescent="0.3">
      <c r="A38" t="s">
        <v>71</v>
      </c>
      <c r="B38" t="s">
        <v>120</v>
      </c>
      <c r="C38" s="5">
        <v>35761</v>
      </c>
      <c r="D38" s="5">
        <v>351320</v>
      </c>
      <c r="E38" s="5">
        <v>35347</v>
      </c>
      <c r="F38" s="5">
        <v>334166</v>
      </c>
    </row>
    <row r="39" spans="1:6" x14ac:dyDescent="0.3">
      <c r="A39" t="s">
        <v>71</v>
      </c>
      <c r="B39" t="s">
        <v>121</v>
      </c>
      <c r="C39" s="5">
        <v>29168</v>
      </c>
      <c r="D39" s="5">
        <v>400143</v>
      </c>
      <c r="E39" s="5">
        <v>29201</v>
      </c>
      <c r="F39" s="5">
        <v>422929</v>
      </c>
    </row>
    <row r="40" spans="1:6" x14ac:dyDescent="0.3">
      <c r="A40" t="s">
        <v>71</v>
      </c>
      <c r="B40" t="s">
        <v>122</v>
      </c>
      <c r="C40" s="5">
        <v>23527</v>
      </c>
      <c r="D40" s="5">
        <v>92752</v>
      </c>
      <c r="E40" s="5">
        <v>23235</v>
      </c>
      <c r="F40" s="5">
        <v>76814</v>
      </c>
    </row>
    <row r="41" spans="1:6" x14ac:dyDescent="0.3">
      <c r="A41" t="s">
        <v>71</v>
      </c>
      <c r="B41" t="s">
        <v>123</v>
      </c>
      <c r="C41" s="5">
        <v>69345</v>
      </c>
      <c r="D41" s="5">
        <v>189557</v>
      </c>
      <c r="E41" s="5">
        <v>69841</v>
      </c>
      <c r="F41" s="5">
        <v>173585</v>
      </c>
    </row>
    <row r="42" spans="1:6" x14ac:dyDescent="0.3">
      <c r="A42" s="7" t="s">
        <v>72</v>
      </c>
      <c r="B42" s="7" t="s">
        <v>104</v>
      </c>
      <c r="C42" s="8">
        <v>210944</v>
      </c>
      <c r="D42" s="8">
        <v>967934</v>
      </c>
      <c r="E42" s="8">
        <v>214909</v>
      </c>
      <c r="F42" s="8">
        <v>893590</v>
      </c>
    </row>
    <row r="43" spans="1:6" x14ac:dyDescent="0.3">
      <c r="A43" s="7" t="s">
        <v>72</v>
      </c>
      <c r="B43" s="7" t="s">
        <v>105</v>
      </c>
      <c r="C43" s="8">
        <v>22</v>
      </c>
      <c r="D43" s="8">
        <v>414</v>
      </c>
      <c r="E43" s="8">
        <v>31</v>
      </c>
      <c r="F43" s="8">
        <v>397</v>
      </c>
    </row>
    <row r="44" spans="1:6" x14ac:dyDescent="0.3">
      <c r="A44" s="7" t="s">
        <v>72</v>
      </c>
      <c r="B44" s="7" t="s">
        <v>106</v>
      </c>
      <c r="C44" s="8">
        <v>6</v>
      </c>
      <c r="D44" s="8">
        <v>24</v>
      </c>
      <c r="E44" s="8">
        <v>7</v>
      </c>
      <c r="F44" s="8">
        <v>29</v>
      </c>
    </row>
    <row r="45" spans="1:6" x14ac:dyDescent="0.3">
      <c r="A45" s="7" t="s">
        <v>72</v>
      </c>
      <c r="B45" s="7" t="s">
        <v>107</v>
      </c>
      <c r="C45" s="8">
        <v>26600</v>
      </c>
      <c r="D45" s="8">
        <v>174311</v>
      </c>
      <c r="E45" s="8">
        <v>27088</v>
      </c>
      <c r="F45" s="8">
        <v>161744</v>
      </c>
    </row>
    <row r="46" spans="1:6" x14ac:dyDescent="0.3">
      <c r="A46" s="7" t="s">
        <v>72</v>
      </c>
      <c r="B46" s="7" t="s">
        <v>108</v>
      </c>
      <c r="C46" s="8">
        <v>104</v>
      </c>
      <c r="D46" s="8">
        <v>2613</v>
      </c>
      <c r="E46" s="8">
        <v>128</v>
      </c>
      <c r="F46" s="8">
        <v>2969</v>
      </c>
    </row>
    <row r="47" spans="1:6" x14ac:dyDescent="0.3">
      <c r="A47" s="7" t="s">
        <v>72</v>
      </c>
      <c r="B47" s="7" t="s">
        <v>109</v>
      </c>
      <c r="C47" s="8">
        <v>365</v>
      </c>
      <c r="D47" s="8">
        <v>4155</v>
      </c>
      <c r="E47" s="8">
        <v>362</v>
      </c>
      <c r="F47" s="8">
        <v>4150</v>
      </c>
    </row>
    <row r="48" spans="1:6" x14ac:dyDescent="0.3">
      <c r="A48" s="7" t="s">
        <v>72</v>
      </c>
      <c r="B48" s="7" t="s">
        <v>110</v>
      </c>
      <c r="C48" s="8">
        <v>6772</v>
      </c>
      <c r="D48" s="8">
        <v>61491</v>
      </c>
      <c r="E48" s="8">
        <v>7231</v>
      </c>
      <c r="F48" s="8">
        <v>59844</v>
      </c>
    </row>
    <row r="49" spans="1:6" x14ac:dyDescent="0.3">
      <c r="A49" s="7" t="s">
        <v>72</v>
      </c>
      <c r="B49" s="7" t="s">
        <v>111</v>
      </c>
      <c r="C49" s="8">
        <v>54735</v>
      </c>
      <c r="D49" s="8">
        <v>154973</v>
      </c>
      <c r="E49" s="8">
        <v>55527</v>
      </c>
      <c r="F49" s="8">
        <v>132909</v>
      </c>
    </row>
    <row r="50" spans="1:6" x14ac:dyDescent="0.3">
      <c r="A50" s="7" t="s">
        <v>72</v>
      </c>
      <c r="B50" s="7" t="s">
        <v>112</v>
      </c>
      <c r="C50" s="8">
        <v>21059</v>
      </c>
      <c r="D50" s="8">
        <v>47975</v>
      </c>
      <c r="E50" s="8">
        <v>21090</v>
      </c>
      <c r="F50" s="8">
        <v>43979</v>
      </c>
    </row>
    <row r="51" spans="1:6" x14ac:dyDescent="0.3">
      <c r="A51" s="7" t="s">
        <v>72</v>
      </c>
      <c r="B51" s="7" t="s">
        <v>113</v>
      </c>
      <c r="C51" s="8">
        <v>35707</v>
      </c>
      <c r="D51" s="8">
        <v>101892</v>
      </c>
      <c r="E51" s="8">
        <v>37259</v>
      </c>
      <c r="F51" s="8">
        <v>85600</v>
      </c>
    </row>
    <row r="52" spans="1:6" x14ac:dyDescent="0.3">
      <c r="A52" s="7" t="s">
        <v>72</v>
      </c>
      <c r="B52" s="7" t="s">
        <v>114</v>
      </c>
      <c r="C52" s="8">
        <v>1284</v>
      </c>
      <c r="D52" s="8">
        <v>12781</v>
      </c>
      <c r="E52" s="8">
        <v>1362</v>
      </c>
      <c r="F52" s="8">
        <v>12715</v>
      </c>
    </row>
    <row r="53" spans="1:6" x14ac:dyDescent="0.3">
      <c r="A53" s="7" t="s">
        <v>72</v>
      </c>
      <c r="B53" s="7" t="s">
        <v>115</v>
      </c>
      <c r="C53" s="8">
        <v>2176</v>
      </c>
      <c r="D53" s="8">
        <v>34444</v>
      </c>
      <c r="E53" s="8">
        <v>2099</v>
      </c>
      <c r="F53" s="8">
        <v>30625</v>
      </c>
    </row>
    <row r="54" spans="1:6" x14ac:dyDescent="0.3">
      <c r="A54" s="7" t="s">
        <v>72</v>
      </c>
      <c r="B54" s="7" t="s">
        <v>116</v>
      </c>
      <c r="C54" s="8">
        <v>7699</v>
      </c>
      <c r="D54" s="8">
        <v>24632</v>
      </c>
      <c r="E54" s="8">
        <v>8212</v>
      </c>
      <c r="F54" s="8">
        <v>22618</v>
      </c>
    </row>
    <row r="55" spans="1:6" x14ac:dyDescent="0.3">
      <c r="A55" s="7" t="s">
        <v>72</v>
      </c>
      <c r="B55" s="7" t="s">
        <v>117</v>
      </c>
      <c r="C55" s="8">
        <v>4930</v>
      </c>
      <c r="D55" s="8">
        <v>28433</v>
      </c>
      <c r="E55" s="8">
        <v>5203</v>
      </c>
      <c r="F55" s="8">
        <v>28561</v>
      </c>
    </row>
    <row r="56" spans="1:6" x14ac:dyDescent="0.3">
      <c r="A56" s="7" t="s">
        <v>72</v>
      </c>
      <c r="B56" s="7" t="s">
        <v>118</v>
      </c>
      <c r="C56" s="8">
        <v>3052</v>
      </c>
      <c r="D56" s="8">
        <v>45761</v>
      </c>
      <c r="E56" s="8">
        <v>3140</v>
      </c>
      <c r="F56" s="8">
        <v>37388</v>
      </c>
    </row>
    <row r="57" spans="1:6" x14ac:dyDescent="0.3">
      <c r="A57" s="7" t="s">
        <v>72</v>
      </c>
      <c r="B57" s="7" t="s">
        <v>119</v>
      </c>
      <c r="C57" s="8">
        <v>449</v>
      </c>
      <c r="D57" s="8">
        <v>30502</v>
      </c>
      <c r="E57" s="8">
        <v>442</v>
      </c>
      <c r="F57" s="8">
        <v>31212</v>
      </c>
    </row>
    <row r="58" spans="1:6" x14ac:dyDescent="0.3">
      <c r="A58" s="7" t="s">
        <v>72</v>
      </c>
      <c r="B58" s="7" t="s">
        <v>120</v>
      </c>
      <c r="C58" s="8">
        <v>11090</v>
      </c>
      <c r="D58" s="8">
        <v>81327</v>
      </c>
      <c r="E58" s="8">
        <v>10885</v>
      </c>
      <c r="F58" s="8">
        <v>76589</v>
      </c>
    </row>
    <row r="59" spans="1:6" x14ac:dyDescent="0.3">
      <c r="A59" s="7" t="s">
        <v>72</v>
      </c>
      <c r="B59" s="7" t="s">
        <v>121</v>
      </c>
      <c r="C59" s="8">
        <v>7285</v>
      </c>
      <c r="D59" s="8">
        <v>100706</v>
      </c>
      <c r="E59" s="8">
        <v>7183</v>
      </c>
      <c r="F59" s="8">
        <v>108702</v>
      </c>
    </row>
    <row r="60" spans="1:6" x14ac:dyDescent="0.3">
      <c r="A60" s="7" t="s">
        <v>72</v>
      </c>
      <c r="B60" s="7" t="s">
        <v>122</v>
      </c>
      <c r="C60" s="8">
        <v>6010</v>
      </c>
      <c r="D60" s="8">
        <v>18304</v>
      </c>
      <c r="E60" s="8">
        <v>5846</v>
      </c>
      <c r="F60" s="8">
        <v>14525</v>
      </c>
    </row>
    <row r="61" spans="1:6" x14ac:dyDescent="0.3">
      <c r="A61" s="7" t="s">
        <v>72</v>
      </c>
      <c r="B61" s="7" t="s">
        <v>123</v>
      </c>
      <c r="C61" s="8">
        <v>21599</v>
      </c>
      <c r="D61" s="8">
        <v>43196</v>
      </c>
      <c r="E61" s="8">
        <v>21814</v>
      </c>
      <c r="F61" s="8">
        <v>39034</v>
      </c>
    </row>
  </sheetData>
  <autoFilter ref="A1:F1" xr:uid="{54508644-CB05-4E5D-8076-D8103DD10E1C}"/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0B91-847D-453C-8316-49764C29858F}">
  <dimension ref="A1:C39"/>
  <sheetViews>
    <sheetView showGridLines="0" workbookViewId="0"/>
  </sheetViews>
  <sheetFormatPr defaultRowHeight="16.5" x14ac:dyDescent="0.3"/>
  <cols>
    <col min="1" max="1" width="24.625" customWidth="1"/>
    <col min="2" max="8" width="13.625" customWidth="1"/>
  </cols>
  <sheetData>
    <row r="1" spans="1:3" ht="19.5" x14ac:dyDescent="0.3">
      <c r="A1" s="11" t="s">
        <v>155</v>
      </c>
    </row>
    <row r="2" spans="1:3" x14ac:dyDescent="0.3">
      <c r="A2" s="12" t="s">
        <v>145</v>
      </c>
      <c r="B2" s="12">
        <v>2019</v>
      </c>
      <c r="C2" s="12">
        <v>2020</v>
      </c>
    </row>
    <row r="3" spans="1:3" x14ac:dyDescent="0.3">
      <c r="A3" t="s">
        <v>59</v>
      </c>
      <c r="B3" s="5">
        <f>N('사업체_산업별(2019~20구)'!C49)</f>
        <v>54735</v>
      </c>
      <c r="C3" s="5">
        <f>N('사업체_산업별(2019~20구)'!E49)</f>
        <v>55527</v>
      </c>
    </row>
    <row r="4" spans="1:3" x14ac:dyDescent="0.3">
      <c r="A4" t="s">
        <v>61</v>
      </c>
      <c r="B4" s="5">
        <f>N('사업체_산업별(2019~20구)'!C51)</f>
        <v>35707</v>
      </c>
      <c r="C4" s="5">
        <f>N('사업체_산업별(2019~20구)'!E51)</f>
        <v>37259</v>
      </c>
    </row>
    <row r="5" spans="1:3" x14ac:dyDescent="0.3">
      <c r="A5" t="s">
        <v>55</v>
      </c>
      <c r="B5" s="5">
        <f>N('사업체_산업별(2019~20구)'!C45)</f>
        <v>26600</v>
      </c>
      <c r="C5" s="5">
        <f>N('사업체_산업별(2019~20구)'!E45)</f>
        <v>27088</v>
      </c>
    </row>
    <row r="6" spans="1:3" x14ac:dyDescent="0.3">
      <c r="A6" t="s">
        <v>153</v>
      </c>
      <c r="B6" s="5">
        <f>N('사업체_산업별(2019~20구)'!C61)</f>
        <v>21599</v>
      </c>
      <c r="C6" s="5">
        <f>N('사업체_산업별(2019~20구)'!E61)</f>
        <v>21814</v>
      </c>
    </row>
    <row r="7" spans="1:3" x14ac:dyDescent="0.3">
      <c r="A7" t="s">
        <v>60</v>
      </c>
      <c r="B7" s="5">
        <f>N('사업체_산업별(2019~20구)'!C50)</f>
        <v>21059</v>
      </c>
      <c r="C7" s="5">
        <f>N('사업체_산업별(2019~20구)'!E50)</f>
        <v>21090</v>
      </c>
    </row>
    <row r="8" spans="1:3" x14ac:dyDescent="0.3">
      <c r="A8" t="s">
        <v>156</v>
      </c>
      <c r="B8" s="5">
        <f>N('사업체_산업별(2019~20구)'!C58)</f>
        <v>11090</v>
      </c>
      <c r="C8" s="5">
        <f>N('사업체_산업별(2019~20구)'!E58)</f>
        <v>10885</v>
      </c>
    </row>
    <row r="9" spans="1:3" x14ac:dyDescent="0.3">
      <c r="A9" t="s">
        <v>147</v>
      </c>
      <c r="B9" s="5">
        <f>B10-SUM(B3:B8)</f>
        <v>40154</v>
      </c>
      <c r="C9" s="5">
        <f>C10-SUM(C3:C8)</f>
        <v>41246</v>
      </c>
    </row>
    <row r="10" spans="1:3" x14ac:dyDescent="0.3">
      <c r="A10" s="10" t="s">
        <v>148</v>
      </c>
      <c r="B10" s="5">
        <f>N('사업체_산업별(2019~20구)'!C42)</f>
        <v>210944</v>
      </c>
      <c r="C10" s="5">
        <f>N('사업체_산업별(2019~20구)'!E42)</f>
        <v>214909</v>
      </c>
    </row>
    <row r="30" spans="1:3" ht="19.5" x14ac:dyDescent="0.3">
      <c r="A30" s="11" t="s">
        <v>157</v>
      </c>
    </row>
    <row r="31" spans="1:3" x14ac:dyDescent="0.3">
      <c r="A31" s="12" t="s">
        <v>145</v>
      </c>
      <c r="B31" s="12">
        <v>2019</v>
      </c>
      <c r="C31" s="12">
        <v>2020</v>
      </c>
    </row>
    <row r="32" spans="1:3" x14ac:dyDescent="0.3">
      <c r="A32" t="s">
        <v>59</v>
      </c>
      <c r="B32" s="5">
        <f>N('사업체_산업별(2019~20구)'!D49)</f>
        <v>154973</v>
      </c>
      <c r="C32" s="5">
        <f>N('사업체_산업별(2019~20구)'!F49)</f>
        <v>132909</v>
      </c>
    </row>
    <row r="33" spans="1:3" x14ac:dyDescent="0.3">
      <c r="A33" t="s">
        <v>61</v>
      </c>
      <c r="B33" s="5">
        <f>N('사업체_산업별(2019~20구)'!D51)</f>
        <v>101892</v>
      </c>
      <c r="C33" s="5">
        <f>N('사업체_산업별(2019~20구)'!F51)</f>
        <v>85600</v>
      </c>
    </row>
    <row r="34" spans="1:3" x14ac:dyDescent="0.3">
      <c r="A34" t="s">
        <v>55</v>
      </c>
      <c r="B34" s="5">
        <f>N('사업체_산업별(2019~20구)'!D45)</f>
        <v>174311</v>
      </c>
      <c r="C34" s="5">
        <f>N('사업체_산업별(2019~20구)'!F45)</f>
        <v>161744</v>
      </c>
    </row>
    <row r="35" spans="1:3" x14ac:dyDescent="0.3">
      <c r="A35" t="s">
        <v>153</v>
      </c>
      <c r="B35" s="5">
        <f>N('사업체_산업별(2019~20구)'!D61)</f>
        <v>43196</v>
      </c>
      <c r="C35" s="5">
        <f>N('사업체_산업별(2019~20구)'!F61)</f>
        <v>39034</v>
      </c>
    </row>
    <row r="36" spans="1:3" x14ac:dyDescent="0.3">
      <c r="A36" t="s">
        <v>60</v>
      </c>
      <c r="B36" s="5">
        <f>N('사업체_산업별(2019~20구)'!D50)</f>
        <v>47975</v>
      </c>
      <c r="C36" s="5">
        <f>N('사업체_산업별(2019~20구)'!F50)</f>
        <v>43979</v>
      </c>
    </row>
    <row r="37" spans="1:3" x14ac:dyDescent="0.3">
      <c r="A37" t="s">
        <v>156</v>
      </c>
      <c r="B37" s="5">
        <f>N('사업체_산업별(2019~20구)'!D58)</f>
        <v>81327</v>
      </c>
      <c r="C37" s="5">
        <f>N('사업체_산업별(2019~20구)'!F58)</f>
        <v>76589</v>
      </c>
    </row>
    <row r="38" spans="1:3" x14ac:dyDescent="0.3">
      <c r="A38" t="s">
        <v>147</v>
      </c>
      <c r="B38" s="5">
        <f>B39-SUM(B32:B37)</f>
        <v>364260</v>
      </c>
      <c r="C38" s="5">
        <f>C39-SUM(C32:C37)</f>
        <v>353735</v>
      </c>
    </row>
    <row r="39" spans="1:3" x14ac:dyDescent="0.3">
      <c r="A39" s="10" t="s">
        <v>148</v>
      </c>
      <c r="B39" s="5">
        <f>N('사업체_산업별(2019~20구)'!D42)</f>
        <v>967934</v>
      </c>
      <c r="C39" s="5">
        <f>N('사업체_산업별(2019~20구)'!F42)</f>
        <v>893590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3690-AA39-4D2D-B9BE-A8693D55B55C}">
  <dimension ref="A1:S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5" x14ac:dyDescent="0.3"/>
  <cols>
    <col min="1" max="1" width="14.625" customWidth="1"/>
    <col min="2" max="2" width="40.625" customWidth="1"/>
    <col min="3" max="19" width="12.625" customWidth="1"/>
  </cols>
  <sheetData>
    <row r="1" spans="1:19" ht="32.1" customHeight="1" x14ac:dyDescent="0.3">
      <c r="A1" s="4" t="s">
        <v>126</v>
      </c>
      <c r="B1" s="4" t="s">
        <v>16</v>
      </c>
      <c r="C1" s="4" t="s">
        <v>124</v>
      </c>
      <c r="D1" s="4" t="s">
        <v>125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  <c r="N1" s="4" t="s">
        <v>98</v>
      </c>
      <c r="O1" s="4" t="s">
        <v>99</v>
      </c>
      <c r="P1" s="4" t="s">
        <v>100</v>
      </c>
      <c r="Q1" s="4" t="s">
        <v>101</v>
      </c>
      <c r="R1" s="4" t="s">
        <v>102</v>
      </c>
      <c r="S1" s="4" t="s">
        <v>103</v>
      </c>
    </row>
    <row r="2" spans="1:19" x14ac:dyDescent="0.3">
      <c r="A2" t="s">
        <v>127</v>
      </c>
      <c r="B2" t="s">
        <v>51</v>
      </c>
      <c r="C2" s="5">
        <v>4176549</v>
      </c>
      <c r="D2" s="5">
        <v>22723272</v>
      </c>
      <c r="E2" s="5">
        <v>4325195</v>
      </c>
      <c r="F2" s="5">
        <v>21583421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3">
      <c r="A3" t="s">
        <v>127</v>
      </c>
      <c r="B3" t="s">
        <v>71</v>
      </c>
      <c r="C3" s="5">
        <v>823624</v>
      </c>
      <c r="D3" s="5">
        <v>5226997</v>
      </c>
      <c r="E3" s="5">
        <v>848552</v>
      </c>
      <c r="F3" s="5">
        <v>5044552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3">
      <c r="A4" t="s">
        <v>127</v>
      </c>
      <c r="B4" t="s">
        <v>128</v>
      </c>
      <c r="C4" s="5">
        <v>290357</v>
      </c>
      <c r="D4" s="5">
        <v>1465433</v>
      </c>
      <c r="E4" s="5">
        <v>298386</v>
      </c>
      <c r="F4" s="5">
        <v>1364302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">
      <c r="A5" s="7" t="s">
        <v>127</v>
      </c>
      <c r="B5" s="7" t="s">
        <v>72</v>
      </c>
      <c r="C5" s="8">
        <v>210944</v>
      </c>
      <c r="D5" s="8">
        <v>967934</v>
      </c>
      <c r="E5" s="8">
        <v>214909</v>
      </c>
      <c r="F5" s="8">
        <v>893590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3">
      <c r="A6" t="s">
        <v>127</v>
      </c>
      <c r="B6" t="s">
        <v>129</v>
      </c>
      <c r="C6" s="5">
        <v>206244</v>
      </c>
      <c r="D6" s="5">
        <v>1092494</v>
      </c>
      <c r="E6" s="5">
        <v>216249</v>
      </c>
      <c r="F6" s="5">
        <v>1051036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3">
      <c r="A7" t="s">
        <v>127</v>
      </c>
      <c r="B7" t="s">
        <v>130</v>
      </c>
      <c r="C7" s="5">
        <v>123706</v>
      </c>
      <c r="D7" s="5">
        <v>631876</v>
      </c>
      <c r="E7" s="5">
        <v>125295</v>
      </c>
      <c r="F7" s="5">
        <v>582380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3">
      <c r="A8" t="s">
        <v>127</v>
      </c>
      <c r="B8" t="s">
        <v>131</v>
      </c>
      <c r="C8" s="5">
        <v>119628</v>
      </c>
      <c r="D8" s="5">
        <v>633418</v>
      </c>
      <c r="E8" s="5">
        <v>123728</v>
      </c>
      <c r="F8" s="5">
        <v>618248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3">
      <c r="A9" t="s">
        <v>127</v>
      </c>
      <c r="B9" t="s">
        <v>132</v>
      </c>
      <c r="C9" s="5">
        <v>87054</v>
      </c>
      <c r="D9" s="5">
        <v>533187</v>
      </c>
      <c r="E9" s="5">
        <v>89907</v>
      </c>
      <c r="F9" s="5">
        <v>493599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3">
      <c r="A10" t="s">
        <v>127</v>
      </c>
      <c r="B10" t="s">
        <v>133</v>
      </c>
      <c r="C10" s="5">
        <v>18041</v>
      </c>
      <c r="D10" s="5">
        <v>125410</v>
      </c>
      <c r="E10" s="5">
        <v>19821</v>
      </c>
      <c r="F10" s="5">
        <v>122236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3">
      <c r="A11" t="s">
        <v>127</v>
      </c>
      <c r="B11" t="s">
        <v>134</v>
      </c>
      <c r="C11" s="5">
        <v>934349</v>
      </c>
      <c r="D11" s="5">
        <v>5302740</v>
      </c>
      <c r="E11" s="5">
        <v>989105</v>
      </c>
      <c r="F11" s="5">
        <v>5028507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t="s">
        <v>127</v>
      </c>
      <c r="B12" t="s">
        <v>135</v>
      </c>
      <c r="C12" s="5">
        <v>146815</v>
      </c>
      <c r="D12" s="5">
        <v>670247</v>
      </c>
      <c r="E12" s="5">
        <v>150422</v>
      </c>
      <c r="F12" s="5">
        <v>627833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">
      <c r="A13" t="s">
        <v>127</v>
      </c>
      <c r="B13" t="s">
        <v>136</v>
      </c>
      <c r="C13" s="5">
        <v>133522</v>
      </c>
      <c r="D13" s="5">
        <v>741452</v>
      </c>
      <c r="E13" s="5">
        <v>138598</v>
      </c>
      <c r="F13" s="5">
        <v>707138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">
      <c r="A14" t="s">
        <v>127</v>
      </c>
      <c r="B14" t="s">
        <v>137</v>
      </c>
      <c r="C14" s="5">
        <v>176643</v>
      </c>
      <c r="D14" s="5">
        <v>973944</v>
      </c>
      <c r="E14" s="5">
        <v>184103</v>
      </c>
      <c r="F14" s="5">
        <v>937082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A15" t="s">
        <v>127</v>
      </c>
      <c r="B15" t="s">
        <v>138</v>
      </c>
      <c r="C15" s="5">
        <v>154082</v>
      </c>
      <c r="D15" s="5">
        <v>720052</v>
      </c>
      <c r="E15" s="5">
        <v>156779</v>
      </c>
      <c r="F15" s="5">
        <v>682268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">
      <c r="A16" t="s">
        <v>127</v>
      </c>
      <c r="B16" t="s">
        <v>139</v>
      </c>
      <c r="C16" s="5">
        <v>161883</v>
      </c>
      <c r="D16" s="5">
        <v>774294</v>
      </c>
      <c r="E16" s="5">
        <v>163774</v>
      </c>
      <c r="F16" s="5">
        <v>738841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">
      <c r="A17" t="s">
        <v>127</v>
      </c>
      <c r="B17" t="s">
        <v>140</v>
      </c>
      <c r="C17" s="5">
        <v>236807</v>
      </c>
      <c r="D17" s="5">
        <v>1150047</v>
      </c>
      <c r="E17" s="5">
        <v>242103</v>
      </c>
      <c r="F17" s="5">
        <v>1085637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t="s">
        <v>127</v>
      </c>
      <c r="B18" t="s">
        <v>141</v>
      </c>
      <c r="C18" s="5">
        <v>286752</v>
      </c>
      <c r="D18" s="5">
        <v>1427443</v>
      </c>
      <c r="E18" s="5">
        <v>294973</v>
      </c>
      <c r="F18" s="5">
        <v>1335973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t="s">
        <v>127</v>
      </c>
      <c r="B19" t="s">
        <v>142</v>
      </c>
      <c r="C19" s="5">
        <v>66098</v>
      </c>
      <c r="D19" s="5">
        <v>286304</v>
      </c>
      <c r="E19" s="5">
        <v>68491</v>
      </c>
      <c r="F19" s="5">
        <v>270199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t="s">
        <v>143</v>
      </c>
      <c r="B20" t="s">
        <v>51</v>
      </c>
      <c r="C20" s="5"/>
      <c r="D20" s="5"/>
      <c r="E20" s="5">
        <v>6032022</v>
      </c>
      <c r="F20" s="5">
        <v>24813449</v>
      </c>
      <c r="G20" s="5">
        <v>6710918882</v>
      </c>
      <c r="H20" s="5">
        <v>6079702</v>
      </c>
      <c r="I20" s="5">
        <v>24931600</v>
      </c>
      <c r="J20" s="5">
        <v>7474083484</v>
      </c>
      <c r="K20" s="5">
        <v>6139899</v>
      </c>
      <c r="L20" s="5">
        <v>25217123</v>
      </c>
      <c r="M20" s="5">
        <v>8773555947</v>
      </c>
      <c r="N20" s="5">
        <v>6246489</v>
      </c>
      <c r="O20" s="5">
        <v>25445897</v>
      </c>
      <c r="P20" s="5">
        <v>8696034986</v>
      </c>
      <c r="Q20" s="5">
        <v>6363262</v>
      </c>
      <c r="R20" s="5">
        <v>25641480</v>
      </c>
      <c r="S20" s="5">
        <v>9038331262</v>
      </c>
    </row>
    <row r="21" spans="1:19" x14ac:dyDescent="0.3">
      <c r="A21" t="s">
        <v>143</v>
      </c>
      <c r="B21" t="s">
        <v>71</v>
      </c>
      <c r="C21" s="5"/>
      <c r="D21" s="5"/>
      <c r="E21" s="5">
        <v>1211053</v>
      </c>
      <c r="F21" s="5">
        <v>5868926</v>
      </c>
      <c r="G21" s="5">
        <v>2134723408</v>
      </c>
      <c r="H21" s="5">
        <v>1188091</v>
      </c>
      <c r="I21" s="5">
        <v>5771226</v>
      </c>
      <c r="J21" s="5">
        <v>2242880703</v>
      </c>
      <c r="K21" s="5">
        <v>1180025</v>
      </c>
      <c r="L21" s="5">
        <v>5795417</v>
      </c>
      <c r="M21" s="5">
        <v>2856087130</v>
      </c>
      <c r="N21" s="5">
        <v>1177287</v>
      </c>
      <c r="O21" s="5">
        <v>5800617</v>
      </c>
      <c r="P21" s="5">
        <v>2802352432</v>
      </c>
      <c r="Q21" s="5">
        <v>1176066</v>
      </c>
      <c r="R21" s="5">
        <v>5772456</v>
      </c>
      <c r="S21" s="5">
        <v>2896433490</v>
      </c>
    </row>
    <row r="22" spans="1:19" x14ac:dyDescent="0.3">
      <c r="A22" t="s">
        <v>143</v>
      </c>
      <c r="B22" t="s">
        <v>128</v>
      </c>
      <c r="C22" s="5"/>
      <c r="D22" s="5"/>
      <c r="E22" s="5">
        <v>402003</v>
      </c>
      <c r="F22" s="5">
        <v>1537281</v>
      </c>
      <c r="G22" s="5">
        <v>319458916</v>
      </c>
      <c r="H22" s="5">
        <v>401254</v>
      </c>
      <c r="I22" s="5">
        <v>1544504</v>
      </c>
      <c r="J22" s="5">
        <v>347409336</v>
      </c>
      <c r="K22" s="5">
        <v>400565</v>
      </c>
      <c r="L22" s="5">
        <v>1554664</v>
      </c>
      <c r="M22" s="5">
        <v>394629618</v>
      </c>
      <c r="N22" s="5">
        <v>401008</v>
      </c>
      <c r="O22" s="5">
        <v>1555085</v>
      </c>
      <c r="P22" s="5">
        <v>393421493</v>
      </c>
      <c r="Q22" s="5">
        <v>402419</v>
      </c>
      <c r="R22" s="5">
        <v>1563954</v>
      </c>
      <c r="S22" s="5">
        <v>406057900</v>
      </c>
    </row>
    <row r="23" spans="1:19" x14ac:dyDescent="0.3">
      <c r="A23" s="7" t="s">
        <v>143</v>
      </c>
      <c r="B23" s="7" t="s">
        <v>72</v>
      </c>
      <c r="C23" s="8"/>
      <c r="D23" s="8"/>
      <c r="E23" s="8">
        <v>283033</v>
      </c>
      <c r="F23" s="8">
        <v>1010557</v>
      </c>
      <c r="G23" s="8">
        <v>193823254</v>
      </c>
      <c r="H23" s="8">
        <v>279798</v>
      </c>
      <c r="I23" s="8">
        <v>1004563</v>
      </c>
      <c r="J23" s="8">
        <v>215868161</v>
      </c>
      <c r="K23" s="8">
        <v>279223</v>
      </c>
      <c r="L23" s="8">
        <v>1014987</v>
      </c>
      <c r="M23" s="8">
        <v>251979654</v>
      </c>
      <c r="N23" s="8">
        <v>285388</v>
      </c>
      <c r="O23" s="8">
        <v>1028785</v>
      </c>
      <c r="P23" s="8">
        <v>261039253</v>
      </c>
      <c r="Q23" s="8">
        <v>286841</v>
      </c>
      <c r="R23" s="8">
        <v>1021246</v>
      </c>
      <c r="S23" s="8">
        <v>254436148</v>
      </c>
    </row>
    <row r="24" spans="1:19" x14ac:dyDescent="0.3">
      <c r="A24" t="s">
        <v>143</v>
      </c>
      <c r="B24" t="s">
        <v>129</v>
      </c>
      <c r="C24" s="5"/>
      <c r="D24" s="5"/>
      <c r="E24" s="5">
        <v>306108</v>
      </c>
      <c r="F24" s="5">
        <v>1208269</v>
      </c>
      <c r="G24" s="5">
        <v>282444533</v>
      </c>
      <c r="H24" s="5">
        <v>308892</v>
      </c>
      <c r="I24" s="5">
        <v>1223448</v>
      </c>
      <c r="J24" s="5">
        <v>335636557</v>
      </c>
      <c r="K24" s="5">
        <v>317133</v>
      </c>
      <c r="L24" s="5">
        <v>1250203</v>
      </c>
      <c r="M24" s="5">
        <v>376669966</v>
      </c>
      <c r="N24" s="5">
        <v>322297</v>
      </c>
      <c r="O24" s="5">
        <v>1258759</v>
      </c>
      <c r="P24" s="5">
        <v>378621843</v>
      </c>
      <c r="Q24" s="5">
        <v>328929</v>
      </c>
      <c r="R24" s="5">
        <v>1271660</v>
      </c>
      <c r="S24" s="5">
        <v>382352838</v>
      </c>
    </row>
    <row r="25" spans="1:19" x14ac:dyDescent="0.3">
      <c r="A25" t="s">
        <v>143</v>
      </c>
      <c r="B25" t="s">
        <v>130</v>
      </c>
      <c r="C25" s="5"/>
      <c r="D25" s="5"/>
      <c r="E25" s="5">
        <v>170085</v>
      </c>
      <c r="F25" s="5">
        <v>667435</v>
      </c>
      <c r="G25" s="5">
        <v>155061679</v>
      </c>
      <c r="H25" s="5">
        <v>170973</v>
      </c>
      <c r="I25" s="5">
        <v>676261</v>
      </c>
      <c r="J25" s="5">
        <v>175689830</v>
      </c>
      <c r="K25" s="5">
        <v>170894</v>
      </c>
      <c r="L25" s="5">
        <v>675251</v>
      </c>
      <c r="M25" s="5">
        <v>184076132</v>
      </c>
      <c r="N25" s="5">
        <v>173424</v>
      </c>
      <c r="O25" s="5">
        <v>678748</v>
      </c>
      <c r="P25" s="5">
        <v>185532821</v>
      </c>
      <c r="Q25" s="5">
        <v>175238</v>
      </c>
      <c r="R25" s="5">
        <v>673601</v>
      </c>
      <c r="S25" s="5">
        <v>187590349</v>
      </c>
    </row>
    <row r="26" spans="1:19" x14ac:dyDescent="0.3">
      <c r="A26" t="s">
        <v>143</v>
      </c>
      <c r="B26" t="s">
        <v>131</v>
      </c>
      <c r="C26" s="5"/>
      <c r="D26" s="5"/>
      <c r="E26" s="5">
        <v>164406</v>
      </c>
      <c r="F26" s="5">
        <v>691264</v>
      </c>
      <c r="G26" s="5">
        <v>139651065</v>
      </c>
      <c r="H26" s="5">
        <v>164095</v>
      </c>
      <c r="I26" s="5">
        <v>688457</v>
      </c>
      <c r="J26" s="5">
        <v>151895365</v>
      </c>
      <c r="K26" s="5">
        <v>164664</v>
      </c>
      <c r="L26" s="5">
        <v>695570</v>
      </c>
      <c r="M26" s="5">
        <v>171378512</v>
      </c>
      <c r="N26" s="5">
        <v>167782</v>
      </c>
      <c r="O26" s="5">
        <v>709610</v>
      </c>
      <c r="P26" s="5">
        <v>178329138</v>
      </c>
      <c r="Q26" s="5">
        <v>172209</v>
      </c>
      <c r="R26" s="5">
        <v>706075</v>
      </c>
      <c r="S26" s="5">
        <v>179761333</v>
      </c>
    </row>
    <row r="27" spans="1:19" x14ac:dyDescent="0.3">
      <c r="A27" t="s">
        <v>143</v>
      </c>
      <c r="B27" t="s">
        <v>132</v>
      </c>
      <c r="C27" s="5"/>
      <c r="D27" s="5"/>
      <c r="E27" s="5">
        <v>117247</v>
      </c>
      <c r="F27" s="5">
        <v>543424</v>
      </c>
      <c r="G27" s="5">
        <v>239263923</v>
      </c>
      <c r="H27" s="5">
        <v>115408</v>
      </c>
      <c r="I27" s="5">
        <v>543984</v>
      </c>
      <c r="J27" s="5">
        <v>282862685</v>
      </c>
      <c r="K27" s="5">
        <v>115784</v>
      </c>
      <c r="L27" s="5">
        <v>547780</v>
      </c>
      <c r="M27" s="5">
        <v>369613875</v>
      </c>
      <c r="N27" s="5">
        <v>116666</v>
      </c>
      <c r="O27" s="5">
        <v>551628</v>
      </c>
      <c r="P27" s="5">
        <v>357496508</v>
      </c>
      <c r="Q27" s="5">
        <v>116775</v>
      </c>
      <c r="R27" s="5">
        <v>568107</v>
      </c>
      <c r="S27" s="5">
        <v>375440011</v>
      </c>
    </row>
    <row r="28" spans="1:19" x14ac:dyDescent="0.3">
      <c r="A28" t="s">
        <v>143</v>
      </c>
      <c r="B28" t="s">
        <v>133</v>
      </c>
      <c r="C28" s="5"/>
      <c r="D28" s="5"/>
      <c r="E28" s="5">
        <v>28490</v>
      </c>
      <c r="F28" s="5">
        <v>139731</v>
      </c>
      <c r="G28" s="5">
        <v>32334651</v>
      </c>
      <c r="H28" s="5">
        <v>30478</v>
      </c>
      <c r="I28" s="5">
        <v>152974</v>
      </c>
      <c r="J28" s="5">
        <v>43213337</v>
      </c>
      <c r="K28" s="5">
        <v>33076</v>
      </c>
      <c r="L28" s="5">
        <v>158168</v>
      </c>
      <c r="M28" s="5">
        <v>46719861</v>
      </c>
      <c r="N28" s="5">
        <v>34099</v>
      </c>
      <c r="O28" s="5">
        <v>163650</v>
      </c>
      <c r="P28" s="5">
        <v>49010903</v>
      </c>
      <c r="Q28" s="5">
        <v>36117</v>
      </c>
      <c r="R28" s="5">
        <v>172001</v>
      </c>
      <c r="S28" s="5">
        <v>53502625</v>
      </c>
    </row>
    <row r="29" spans="1:19" x14ac:dyDescent="0.3">
      <c r="A29" t="s">
        <v>143</v>
      </c>
      <c r="B29" t="s">
        <v>134</v>
      </c>
      <c r="C29" s="5"/>
      <c r="D29" s="5"/>
      <c r="E29" s="5">
        <v>1455644</v>
      </c>
      <c r="F29" s="5">
        <v>5886850</v>
      </c>
      <c r="G29" s="5">
        <v>1484086549</v>
      </c>
      <c r="H29" s="5">
        <v>1481054</v>
      </c>
      <c r="I29" s="5">
        <v>5994570</v>
      </c>
      <c r="J29" s="5">
        <v>1704841721</v>
      </c>
      <c r="K29" s="5">
        <v>1514951</v>
      </c>
      <c r="L29" s="5">
        <v>6103213</v>
      </c>
      <c r="M29" s="5">
        <v>1868460782</v>
      </c>
      <c r="N29" s="5">
        <v>1562116</v>
      </c>
      <c r="O29" s="5">
        <v>6187581</v>
      </c>
      <c r="P29" s="5">
        <v>1850889310</v>
      </c>
      <c r="Q29" s="5">
        <v>1604724</v>
      </c>
      <c r="R29" s="5">
        <v>6269495</v>
      </c>
      <c r="S29" s="5">
        <v>1975348132</v>
      </c>
    </row>
    <row r="30" spans="1:19" x14ac:dyDescent="0.3">
      <c r="A30" t="s">
        <v>143</v>
      </c>
      <c r="B30" t="s">
        <v>135</v>
      </c>
      <c r="C30" s="5"/>
      <c r="D30" s="5"/>
      <c r="E30" s="5">
        <v>193074</v>
      </c>
      <c r="F30" s="5">
        <v>704983</v>
      </c>
      <c r="G30" s="5">
        <v>113947608</v>
      </c>
      <c r="H30" s="5">
        <v>200365</v>
      </c>
      <c r="I30" s="5">
        <v>714310</v>
      </c>
      <c r="J30" s="5">
        <v>124543268</v>
      </c>
      <c r="K30" s="5">
        <v>203375</v>
      </c>
      <c r="L30" s="5">
        <v>727557</v>
      </c>
      <c r="M30" s="5">
        <v>141135492</v>
      </c>
      <c r="N30" s="5">
        <v>209314</v>
      </c>
      <c r="O30" s="5">
        <v>738221</v>
      </c>
      <c r="P30" s="5">
        <v>143739289</v>
      </c>
      <c r="Q30" s="5">
        <v>214203</v>
      </c>
      <c r="R30" s="5">
        <v>751263</v>
      </c>
      <c r="S30" s="5">
        <v>145820494</v>
      </c>
    </row>
    <row r="31" spans="1:19" x14ac:dyDescent="0.3">
      <c r="A31" t="s">
        <v>143</v>
      </c>
      <c r="B31" t="s">
        <v>136</v>
      </c>
      <c r="C31" s="5"/>
      <c r="D31" s="5"/>
      <c r="E31" s="5">
        <v>191265</v>
      </c>
      <c r="F31" s="5">
        <v>808018</v>
      </c>
      <c r="G31" s="5">
        <v>208157612</v>
      </c>
      <c r="H31" s="5">
        <v>194561</v>
      </c>
      <c r="I31" s="5">
        <v>817324</v>
      </c>
      <c r="J31" s="5">
        <v>237093905</v>
      </c>
      <c r="K31" s="5">
        <v>197158</v>
      </c>
      <c r="L31" s="5">
        <v>838620</v>
      </c>
      <c r="M31" s="5">
        <v>265658788</v>
      </c>
      <c r="N31" s="5">
        <v>203356</v>
      </c>
      <c r="O31" s="5">
        <v>845108</v>
      </c>
      <c r="P31" s="5">
        <v>259962229</v>
      </c>
      <c r="Q31" s="5">
        <v>208190</v>
      </c>
      <c r="R31" s="5">
        <v>861910</v>
      </c>
      <c r="S31" s="5">
        <v>280726572</v>
      </c>
    </row>
    <row r="32" spans="1:19" x14ac:dyDescent="0.3">
      <c r="A32" t="s">
        <v>143</v>
      </c>
      <c r="B32" t="s">
        <v>137</v>
      </c>
      <c r="C32" s="5"/>
      <c r="D32" s="5"/>
      <c r="E32" s="5">
        <v>253192</v>
      </c>
      <c r="F32" s="5">
        <v>1064810</v>
      </c>
      <c r="G32" s="5">
        <v>339018273</v>
      </c>
      <c r="H32" s="5">
        <v>261263</v>
      </c>
      <c r="I32" s="5">
        <v>1082844</v>
      </c>
      <c r="J32" s="5">
        <v>396511931</v>
      </c>
      <c r="K32" s="5">
        <v>266577</v>
      </c>
      <c r="L32" s="5">
        <v>1092389</v>
      </c>
      <c r="M32" s="5">
        <v>467235975</v>
      </c>
      <c r="N32" s="5">
        <v>276134</v>
      </c>
      <c r="O32" s="5">
        <v>1100749</v>
      </c>
      <c r="P32" s="5">
        <v>452469856</v>
      </c>
      <c r="Q32" s="5">
        <v>287424</v>
      </c>
      <c r="R32" s="5">
        <v>1121335</v>
      </c>
      <c r="S32" s="5">
        <v>470104764</v>
      </c>
    </row>
    <row r="33" spans="1:19" x14ac:dyDescent="0.3">
      <c r="A33" t="s">
        <v>143</v>
      </c>
      <c r="B33" t="s">
        <v>138</v>
      </c>
      <c r="C33" s="5"/>
      <c r="D33" s="5"/>
      <c r="E33" s="5">
        <v>225964</v>
      </c>
      <c r="F33" s="5">
        <v>794929</v>
      </c>
      <c r="G33" s="5">
        <v>157187934</v>
      </c>
      <c r="H33" s="5">
        <v>231380</v>
      </c>
      <c r="I33" s="5">
        <v>791096</v>
      </c>
      <c r="J33" s="5">
        <v>172615293</v>
      </c>
      <c r="K33" s="5">
        <v>232695</v>
      </c>
      <c r="L33" s="5">
        <v>795273</v>
      </c>
      <c r="M33" s="5">
        <v>192535249</v>
      </c>
      <c r="N33" s="5">
        <v>239757</v>
      </c>
      <c r="O33" s="5">
        <v>799091</v>
      </c>
      <c r="P33" s="5">
        <v>189527978</v>
      </c>
      <c r="Q33" s="5">
        <v>252411</v>
      </c>
      <c r="R33" s="5">
        <v>817157</v>
      </c>
      <c r="S33" s="5">
        <v>194395073</v>
      </c>
    </row>
    <row r="34" spans="1:19" x14ac:dyDescent="0.3">
      <c r="A34" t="s">
        <v>143</v>
      </c>
      <c r="B34" t="s">
        <v>139</v>
      </c>
      <c r="C34" s="5"/>
      <c r="D34" s="5"/>
      <c r="E34" s="5">
        <v>228219</v>
      </c>
      <c r="F34" s="5">
        <v>847692</v>
      </c>
      <c r="G34" s="5">
        <v>231459174</v>
      </c>
      <c r="H34" s="5">
        <v>234688</v>
      </c>
      <c r="I34" s="5">
        <v>856478</v>
      </c>
      <c r="J34" s="5">
        <v>275397236</v>
      </c>
      <c r="K34" s="5">
        <v>236470</v>
      </c>
      <c r="L34" s="5">
        <v>862357</v>
      </c>
      <c r="M34" s="5">
        <v>326484391</v>
      </c>
      <c r="N34" s="5">
        <v>243020</v>
      </c>
      <c r="O34" s="5">
        <v>888352</v>
      </c>
      <c r="P34" s="5">
        <v>313146540</v>
      </c>
      <c r="Q34" s="5">
        <v>253206</v>
      </c>
      <c r="R34" s="5">
        <v>899604</v>
      </c>
      <c r="S34" s="5">
        <v>321462249</v>
      </c>
    </row>
    <row r="35" spans="1:19" x14ac:dyDescent="0.3">
      <c r="A35" t="s">
        <v>143</v>
      </c>
      <c r="B35" t="s">
        <v>140</v>
      </c>
      <c r="C35" s="5"/>
      <c r="D35" s="5"/>
      <c r="E35" s="5">
        <v>321061</v>
      </c>
      <c r="F35" s="5">
        <v>1225829</v>
      </c>
      <c r="G35" s="5">
        <v>303571010</v>
      </c>
      <c r="H35" s="5">
        <v>328657</v>
      </c>
      <c r="I35" s="5">
        <v>1234314</v>
      </c>
      <c r="J35" s="5">
        <v>346626548</v>
      </c>
      <c r="K35" s="5">
        <v>333276</v>
      </c>
      <c r="L35" s="5">
        <v>1255587</v>
      </c>
      <c r="M35" s="5">
        <v>384362747</v>
      </c>
      <c r="N35" s="5">
        <v>336555</v>
      </c>
      <c r="O35" s="5">
        <v>1263352</v>
      </c>
      <c r="P35" s="5">
        <v>388531626</v>
      </c>
      <c r="Q35" s="5">
        <v>344568</v>
      </c>
      <c r="R35" s="5">
        <v>1283224</v>
      </c>
      <c r="S35" s="5">
        <v>406424581</v>
      </c>
    </row>
    <row r="36" spans="1:19" x14ac:dyDescent="0.3">
      <c r="A36" t="s">
        <v>143</v>
      </c>
      <c r="B36" t="s">
        <v>141</v>
      </c>
      <c r="C36" s="5"/>
      <c r="D36" s="5"/>
      <c r="E36" s="5">
        <v>387177</v>
      </c>
      <c r="F36" s="5">
        <v>1494560</v>
      </c>
      <c r="G36" s="5">
        <v>325074193</v>
      </c>
      <c r="H36" s="5">
        <v>392614</v>
      </c>
      <c r="I36" s="5">
        <v>1511931</v>
      </c>
      <c r="J36" s="5">
        <v>364264966</v>
      </c>
      <c r="K36" s="5">
        <v>397699</v>
      </c>
      <c r="L36" s="5">
        <v>1529668</v>
      </c>
      <c r="M36" s="5">
        <v>412800643</v>
      </c>
      <c r="N36" s="5">
        <v>399164</v>
      </c>
      <c r="O36" s="5">
        <v>1547788</v>
      </c>
      <c r="P36" s="5">
        <v>428622550</v>
      </c>
      <c r="Q36" s="5">
        <v>403774</v>
      </c>
      <c r="R36" s="5">
        <v>1557690</v>
      </c>
      <c r="S36" s="5">
        <v>444363919</v>
      </c>
    </row>
    <row r="37" spans="1:19" x14ac:dyDescent="0.3">
      <c r="A37" t="s">
        <v>143</v>
      </c>
      <c r="B37" t="s">
        <v>142</v>
      </c>
      <c r="C37" s="5"/>
      <c r="D37" s="5"/>
      <c r="E37" s="5">
        <v>94001</v>
      </c>
      <c r="F37" s="5">
        <v>318891</v>
      </c>
      <c r="G37" s="5">
        <v>51655100</v>
      </c>
      <c r="H37" s="5">
        <v>96131</v>
      </c>
      <c r="I37" s="5">
        <v>323316</v>
      </c>
      <c r="J37" s="5">
        <v>56732642</v>
      </c>
      <c r="K37" s="5">
        <v>96334</v>
      </c>
      <c r="L37" s="5">
        <v>320419</v>
      </c>
      <c r="M37" s="5">
        <v>63727132</v>
      </c>
      <c r="N37" s="5">
        <v>99122</v>
      </c>
      <c r="O37" s="5">
        <v>328773</v>
      </c>
      <c r="P37" s="5">
        <v>63341217</v>
      </c>
      <c r="Q37" s="5">
        <v>100168</v>
      </c>
      <c r="R37" s="5">
        <v>330702</v>
      </c>
      <c r="S37" s="5">
        <v>64110784</v>
      </c>
    </row>
  </sheetData>
  <autoFilter ref="A1:S1" xr:uid="{B5203690-AA39-4D2D-B9BE-A8693D55B55C}"/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3E27-9CBC-4529-B9D2-C31AD3890DB5}">
  <dimension ref="A1:F37"/>
  <sheetViews>
    <sheetView showGridLines="0" workbookViewId="0"/>
  </sheetViews>
  <sheetFormatPr defaultRowHeight="16.5" x14ac:dyDescent="0.3"/>
  <cols>
    <col min="1" max="1" width="24.625" customWidth="1"/>
    <col min="2" max="8" width="13.625" customWidth="1"/>
  </cols>
  <sheetData>
    <row r="1" spans="1:3" ht="19.5" x14ac:dyDescent="0.3">
      <c r="A1" s="11" t="s">
        <v>158</v>
      </c>
    </row>
    <row r="2" spans="1:3" x14ac:dyDescent="0.3">
      <c r="A2" s="12" t="s">
        <v>145</v>
      </c>
      <c r="B2" s="12">
        <v>2019</v>
      </c>
      <c r="C2" s="12">
        <v>2020</v>
      </c>
    </row>
    <row r="3" spans="1:3" x14ac:dyDescent="0.3">
      <c r="A3" t="s">
        <v>71</v>
      </c>
      <c r="B3" s="5">
        <f>N(사업체_시도별!C3)</f>
        <v>823624</v>
      </c>
      <c r="C3" s="5">
        <f>N(사업체_시도별!E3)</f>
        <v>848552</v>
      </c>
    </row>
    <row r="4" spans="1:3" x14ac:dyDescent="0.3">
      <c r="A4" t="s">
        <v>134</v>
      </c>
      <c r="B4" s="5">
        <f>N(사업체_시도별!C11)</f>
        <v>934349</v>
      </c>
      <c r="C4" s="5">
        <f>N(사업체_시도별!E11)</f>
        <v>989105</v>
      </c>
    </row>
    <row r="5" spans="1:3" x14ac:dyDescent="0.3">
      <c r="A5" t="s">
        <v>128</v>
      </c>
      <c r="B5" s="5">
        <f>N(사업체_시도별!C4)</f>
        <v>290357</v>
      </c>
      <c r="C5" s="5">
        <f>N(사업체_시도별!E4)</f>
        <v>298386</v>
      </c>
    </row>
    <row r="6" spans="1:3" x14ac:dyDescent="0.3">
      <c r="A6" t="s">
        <v>72</v>
      </c>
      <c r="B6" s="5">
        <f>N(사업체_시도별!C5)</f>
        <v>210944</v>
      </c>
      <c r="C6" s="5">
        <f>N(사업체_시도별!E5)</f>
        <v>214909</v>
      </c>
    </row>
    <row r="7" spans="1:3" x14ac:dyDescent="0.3">
      <c r="A7" t="s">
        <v>129</v>
      </c>
      <c r="B7" s="5">
        <f>N(사업체_시도별!C6)</f>
        <v>206244</v>
      </c>
      <c r="C7" s="5">
        <f>N(사업체_시도별!E6)</f>
        <v>216249</v>
      </c>
    </row>
    <row r="8" spans="1:3" x14ac:dyDescent="0.3">
      <c r="A8" t="s">
        <v>147</v>
      </c>
      <c r="B8" s="5">
        <f>B9-SUM(B3:B7)</f>
        <v>1711031</v>
      </c>
      <c r="C8" s="5">
        <f>C9-SUM(C3:C7)</f>
        <v>1757994</v>
      </c>
    </row>
    <row r="9" spans="1:3" x14ac:dyDescent="0.3">
      <c r="A9" s="10" t="s">
        <v>148</v>
      </c>
      <c r="B9" s="5">
        <f>N(사업체_시도별!C2)</f>
        <v>4176549</v>
      </c>
      <c r="C9" s="5">
        <f>N(사업체_시도별!E2)</f>
        <v>4325195</v>
      </c>
    </row>
    <row r="29" spans="1:6" ht="19.5" x14ac:dyDescent="0.3">
      <c r="A29" s="11" t="s">
        <v>159</v>
      </c>
    </row>
    <row r="30" spans="1:6" x14ac:dyDescent="0.3">
      <c r="A30" s="12" t="s">
        <v>145</v>
      </c>
      <c r="B30" s="12">
        <v>2020</v>
      </c>
      <c r="C30" s="12">
        <v>2021</v>
      </c>
      <c r="D30" s="12">
        <v>2022</v>
      </c>
      <c r="E30" s="12">
        <v>2023</v>
      </c>
      <c r="F30" s="12">
        <v>2024</v>
      </c>
    </row>
    <row r="31" spans="1:6" x14ac:dyDescent="0.3">
      <c r="A31" t="s">
        <v>71</v>
      </c>
      <c r="B31" s="5">
        <f>N(사업체_시도별!E21)</f>
        <v>1211053</v>
      </c>
      <c r="C31" s="5">
        <f>N(사업체_시도별!H21)</f>
        <v>1188091</v>
      </c>
      <c r="D31" s="5">
        <f>N(사업체_시도별!K21)</f>
        <v>1180025</v>
      </c>
      <c r="E31" s="5">
        <f>N(사업체_시도별!N21)</f>
        <v>1177287</v>
      </c>
      <c r="F31" s="5">
        <f>N(사업체_시도별!Q21)</f>
        <v>1176066</v>
      </c>
    </row>
    <row r="32" spans="1:6" x14ac:dyDescent="0.3">
      <c r="A32" t="s">
        <v>134</v>
      </c>
      <c r="B32" s="5">
        <f>N(사업체_시도별!E29)</f>
        <v>1455644</v>
      </c>
      <c r="C32" s="5">
        <f>N(사업체_시도별!H29)</f>
        <v>1481054</v>
      </c>
      <c r="D32" s="5">
        <f>N(사업체_시도별!K29)</f>
        <v>1514951</v>
      </c>
      <c r="E32" s="5">
        <f>N(사업체_시도별!N29)</f>
        <v>1562116</v>
      </c>
      <c r="F32" s="5">
        <f>N(사업체_시도별!Q29)</f>
        <v>1604724</v>
      </c>
    </row>
    <row r="33" spans="1:6" x14ac:dyDescent="0.3">
      <c r="A33" t="s">
        <v>128</v>
      </c>
      <c r="B33" s="5">
        <f>N(사업체_시도별!E22)</f>
        <v>402003</v>
      </c>
      <c r="C33" s="5">
        <f>N(사업체_시도별!H22)</f>
        <v>401254</v>
      </c>
      <c r="D33" s="5">
        <f>N(사업체_시도별!K22)</f>
        <v>400565</v>
      </c>
      <c r="E33" s="5">
        <f>N(사업체_시도별!N22)</f>
        <v>401008</v>
      </c>
      <c r="F33" s="5">
        <f>N(사업체_시도별!Q22)</f>
        <v>402419</v>
      </c>
    </row>
    <row r="34" spans="1:6" x14ac:dyDescent="0.3">
      <c r="A34" t="s">
        <v>72</v>
      </c>
      <c r="B34" s="5">
        <f>N(사업체_시도별!E23)</f>
        <v>283033</v>
      </c>
      <c r="C34" s="5">
        <f>N(사업체_시도별!H23)</f>
        <v>279798</v>
      </c>
      <c r="D34" s="5">
        <f>N(사업체_시도별!K23)</f>
        <v>279223</v>
      </c>
      <c r="E34" s="5">
        <f>N(사업체_시도별!N23)</f>
        <v>285388</v>
      </c>
      <c r="F34" s="5">
        <f>N(사업체_시도별!Q23)</f>
        <v>286841</v>
      </c>
    </row>
    <row r="35" spans="1:6" x14ac:dyDescent="0.3">
      <c r="A35" t="s">
        <v>129</v>
      </c>
      <c r="B35" s="5">
        <f>N(사업체_시도별!E24)</f>
        <v>306108</v>
      </c>
      <c r="C35" s="5">
        <f>N(사업체_시도별!H24)</f>
        <v>308892</v>
      </c>
      <c r="D35" s="5">
        <f>N(사업체_시도별!K24)</f>
        <v>317133</v>
      </c>
      <c r="E35" s="5">
        <f>N(사업체_시도별!N24)</f>
        <v>322297</v>
      </c>
      <c r="F35" s="5">
        <f>N(사업체_시도별!Q24)</f>
        <v>328929</v>
      </c>
    </row>
    <row r="36" spans="1:6" x14ac:dyDescent="0.3">
      <c r="A36" t="s">
        <v>147</v>
      </c>
      <c r="B36" s="5">
        <f>B37-SUM(B31:B35)</f>
        <v>2374181</v>
      </c>
      <c r="C36" s="5">
        <f>C37-SUM(C31:C35)</f>
        <v>2420613</v>
      </c>
      <c r="D36" s="5">
        <f>D37-SUM(D31:D35)</f>
        <v>2448002</v>
      </c>
      <c r="E36" s="5">
        <f>E37-SUM(E31:E35)</f>
        <v>2498393</v>
      </c>
      <c r="F36" s="5">
        <f>F37-SUM(F31:F35)</f>
        <v>2564283</v>
      </c>
    </row>
    <row r="37" spans="1:6" x14ac:dyDescent="0.3">
      <c r="A37" s="10" t="s">
        <v>148</v>
      </c>
      <c r="B37" s="5">
        <f>N(사업체_시도별!E20)</f>
        <v>6032022</v>
      </c>
      <c r="C37" s="5">
        <f>N(사업체_시도별!H20)</f>
        <v>6079702</v>
      </c>
      <c r="D37" s="5">
        <f>N(사업체_시도별!K20)</f>
        <v>6139899</v>
      </c>
      <c r="E37" s="5">
        <f>N(사업체_시도별!N20)</f>
        <v>6246489</v>
      </c>
      <c r="F37" s="5">
        <f>N(사업체_시도별!Q20)</f>
        <v>6363262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설명</vt:lpstr>
      <vt:lpstr>기업생멸_산업별</vt:lpstr>
      <vt:lpstr>차트_기업생멸_산업별</vt:lpstr>
      <vt:lpstr>기업생멸_시도별</vt:lpstr>
      <vt:lpstr>차트_기업생멸_시도별</vt:lpstr>
      <vt:lpstr>사업체_산업별(2020~24)</vt:lpstr>
      <vt:lpstr>차트_사업체_산업별(2020~24)</vt:lpstr>
      <vt:lpstr>사업체_산업별(2019~20구)</vt:lpstr>
      <vt:lpstr>차트_사업체_산업별(2019~20구)</vt:lpstr>
      <vt:lpstr>사업체_시도별</vt:lpstr>
      <vt:lpstr>차트_사업체_시도별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Green</cp:lastModifiedBy>
  <dcterms:created xsi:type="dcterms:W3CDTF">2026-10-28T03:51:58Z</dcterms:created>
  <dcterms:modified xsi:type="dcterms:W3CDTF">2026-10-28T05:20:30Z</dcterms:modified>
</cp:coreProperties>
</file>